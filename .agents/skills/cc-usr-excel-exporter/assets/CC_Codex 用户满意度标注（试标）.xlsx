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HH:mm"/>
  </numFmts>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true" applyAlignment="true">
      <alignment vertical="center"/>
    </xf>
    <xf numFmtId="0" fontId="2" fillId="0" borderId="0" xfId="0" applyFont="true" applyAlignment="false">
      <alignment/>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s>
  <sheetData>
    <row r="1" ht="13" customHeight="1">
      <c r="A1" s="1" t="inlineStr">
        <is>
          <t>User Prompt</t>
        </is>
      </c>
      <c r="B1" s="1" t="inlineStr">
        <is>
          <t>SessionID</t>
        </is>
      </c>
      <c r="C1" s="1" t="inlineStr">
        <is>
          <t>TurnID/PromptID</t>
        </is>
      </c>
      <c r="D1" s="1" t="inlineStr">
        <is>
          <t>初始环境快照</t>
        </is>
      </c>
      <c r="E1" s="1" t="inlineStr">
        <is>
          <t>轨迹文件</t>
        </is>
      </c>
      <c r="F1" s="1" t="inlineStr">
        <is>
          <t>环境可复现等级</t>
        </is>
      </c>
      <c r="G1" s="1" t="inlineStr">
        <is>
          <t>Harness</t>
        </is>
      </c>
      <c r="H1" s="1" t="inlineStr">
        <is>
          <t>Harness 版本</t>
        </is>
      </c>
      <c r="I1" s="1" t="inlineStr">
        <is>
          <t>操作系统</t>
        </is>
      </c>
      <c r="J1" s="1" t="inlineStr">
        <is>
          <t>任务类型</t>
        </is>
      </c>
      <c r="K1" s="1" t="inlineStr">
        <is>
          <t>任务难度</t>
        </is>
      </c>
      <c r="L1" s="1" t="inlineStr">
        <is>
          <t>语言/框架</t>
        </is>
      </c>
      <c r="M1" s="1" t="inlineStr">
        <is>
          <t>交付完整性</t>
        </is>
      </c>
      <c r="N1" s="1" t="inlineStr">
        <is>
          <t>交付完整性 - 描述</t>
        </is>
      </c>
      <c r="O1" s="1" t="inlineStr">
        <is>
          <t>指令遵循</t>
        </is>
      </c>
      <c r="P1" s="1" t="inlineStr">
        <is>
          <t>指令遵循 - 描述</t>
        </is>
      </c>
      <c r="Q1" s="1" t="inlineStr">
        <is>
          <t>任务规划</t>
        </is>
      </c>
      <c r="R1" s="1" t="inlineStr">
        <is>
          <t>任务规划 - 描述</t>
        </is>
      </c>
      <c r="S1" s="1" t="inlineStr">
        <is>
          <t>推理能力</t>
        </is>
      </c>
      <c r="T1" s="1" t="inlineStr">
        <is>
          <t>推理能力 - 描述</t>
        </is>
      </c>
      <c r="U1" s="1" t="inlineStr">
        <is>
          <t>执行能力</t>
        </is>
      </c>
      <c r="V1" s="1" t="inlineStr">
        <is>
          <t>执行能力 - 描述</t>
        </is>
      </c>
      <c r="W1" s="1" t="inlineStr">
        <is>
          <t>其他问题</t>
        </is>
      </c>
      <c r="X1" s="1" t="inlineStr">
        <is>
          <t>提交人</t>
        </is>
      </c>
      <c r="Y1" s="1" t="inlineStr">
        <is>
          <t>提交时间</t>
        </is>
      </c>
      <c r="Z1" s="1" t="inlineStr">
        <is>
          <t>父记录</t>
        </is>
      </c>
      <c r="AA1" s="1" t="inlineStr">
        <is>
          <t>审核备注</t>
        </is>
      </c>
    </row>
    <row r="2" ht="25.5" customHeight="1">
      <c r="A2" t="inlineStr">
        <is>
          <t>现有用户服务已经能单独启动了，请把 Kong 3.5 的路由配置补完整。通过网关访问用户注册、登录、查询和健康检查接口，直接绕过网关的地址在文档里标成开发用途；配置文件不要使用 alpine 镜像标签。</t>
        </is>
      </c>
      <c r="B2" t="inlineStr">
        <is>
          <t>a0e3650c-eae4-4441-83d2-d93481346227</t>
        </is>
      </c>
      <c r="C2" t="inlineStr">
        <is>
          <t>140b19ac-8361-4fea-ba31-6067b73d31df</t>
        </is>
      </c>
      <c r="D2" s="2" t="str">
        <f>=HYPERLINK("https://github.com/ljzljz520-eng/label-419/commit/7fc497b3125a29841ea8f79176db58da899d2749", "https://github.com/ljzljz520-eng/label-419/commit/7fc497b3125a29841ea8f79176db58da899d2749")</f>
        <v>https://github.com/ljzljz520-eng/label-419/commit/7fc497b3125a29841ea8f79176db58da899d2749</v>
      </c>
      <c r="E2" t="inlineStr">
        <is>
          <t>a0e3650c-eae4-4441-83d2-d93481346227.jsonl</t>
        </is>
      </c>
      <c r="F2" t="inlineStr">
        <is>
          <t>已容器化，可一键起环境</t>
        </is>
      </c>
      <c r="G2" t="inlineStr">
        <is>
          <t>Claude Code</t>
        </is>
      </c>
      <c r="H2" t="inlineStr">
        <is>
          <t>Claude Code 2.1.263</t>
        </is>
      </c>
      <c r="I2" t="inlineStr">
        <is>
          <t>MacOS/Linux</t>
        </is>
      </c>
      <c r="J2" t="inlineStr">
        <is>
          <t>feature迭代</t>
        </is>
      </c>
      <c r="K2" t="inlineStr">
        <is>
          <t>中等</t>
        </is>
      </c>
      <c r="L2" t="inlineStr">
        <is>
          <t>Kong 3.5、Docker Compose、FastAPI、Vue 3</t>
        </is>
      </c>
      <c r="M2">
        <v>4</v>
      </c>
      <c r="N2" t="inlineStr">
        <is>
          <t>三处镜像配置完成显式要求，独立复跑也成功。扣分点是未保留注册、登录、查询的网关级回归验证，也未用真实数据库服务跑完整业务链。</t>
        </is>
      </c>
      <c r="O2">
        <v>5</v>
      </c>
      <c r="P2" t="inlineStr">
        <is>
          <t>逐条检查了Kong 3.5路由、注册/登录/查询/健康四类网关访问、直连地址开发用途标记及“配置文件不要使用alpine镜像标签”约束，最终状态全部遵循，且修改范围与任务相关。</t>
        </is>
      </c>
      <c r="Q2">
        <v>4</v>
      </c>
      <c r="R2" t="inlineStr">
        <is>
          <t>依次定位项目、真实路由、前端/监控/文档和镜像标签，在编辑前形成路由/镜像/文档三项明确结论，之后完成复验和清理；不足是开头只有一句总目标，没有先列出可验收矩阵，导致中间验证多次临时调整。</t>
        </is>
      </c>
      <c r="S2">
        <v>4</v>
      </c>
      <c r="T2" t="inlineStr">
        <is>
          <t>正确把FastAPI的auth，health映射到不剥离前缀的Kong路由，并识别健康路由缺少OPTIONS，镜像迁移时也同步把apk改为 apt。
主要不足是将mock 转发成功识别为实际业务端到端正常，虽在最终风险中主动披露，仍属于边界分析不足。</t>
        </is>
      </c>
      <c r="U2">
        <v>3</v>
      </c>
      <c r="V2" t="inlineStr">
        <is>
          <t>有高质量的批量检索、Kong真实解析、四路径代理矩阵和最终清理，但调用中出现DB模式遗漏、错误挂载、容器内缺curl、两次Admin JSON键误判，且至少一次 traceback被成功退出码掩盖</t>
        </is>
      </c>
      <c r="W2"/>
      <c r="X2" t="inlineStr">
        <is>
          <t>梁甲正</t>
        </is>
      </c>
      <c r="Y2" s="3">
        <v>46272.9375</v>
      </c>
      <c r="Z2"/>
      <c r="AA2"/>
    </row>
    <row r="3" ht="25.5" customHeight="1">
      <c r="A3" t="inlineStr">
        <is>
          <t>从0做一个连锁门店账号中心。拆出用户服务和门店服务，网关统一转发，前端提供门店员工登录、账号管理、角色分配和门店资料页；每个服务独立数据库模式。需要容器编排、健康检查、接口文档和测试。</t>
        </is>
      </c>
      <c r="B3" t="inlineStr">
        <is>
          <t>bfa84032-ba27-486c-8f72-d4a042562d01</t>
        </is>
      </c>
      <c r="C3" t="inlineStr">
        <is>
          <t>ac84b551-a96a-40d3-8c81-c8a1abcf7a44</t>
        </is>
      </c>
      <c r="D3" s="2" t="str">
        <f>=HYPERLINK("https://github.com/ljzljz520-eng/419-0-1/commit/01a5ddc653e433b9e42ceeb53c7637547aed0c63", "https://github.com/ljzljz520-eng/419-0-1/commit/01a5ddc653e433b9e42ceeb53c7637547aed0c63")</f>
        <v>https://github.com/ljzljz520-eng/419-0-1/commit/01a5ddc653e433b9e42ceeb53c7637547aed0c63</v>
      </c>
      <c r="E3" t="inlineStr">
        <is>
          <t>bfa84032-ba27-486c-8f72-d4a042562d01.jsonl</t>
        </is>
      </c>
      <c r="F3" t="inlineStr">
        <is>
          <t>已容器化，可一键起环境</t>
        </is>
      </c>
      <c r="G3" t="inlineStr">
        <is>
          <t>Claude Code</t>
        </is>
      </c>
      <c r="H3" t="inlineStr">
        <is>
          <t>Claude Code 2.1.263</t>
        </is>
      </c>
      <c r="I3" t="inlineStr">
        <is>
          <t>MacOS/Linux</t>
        </is>
      </c>
      <c r="J3" t="inlineStr">
        <is>
          <t>0-1代码生成</t>
        </is>
      </c>
      <c r="K3" t="inlineStr">
        <is>
          <t>困难</t>
        </is>
      </c>
      <c r="L3" t="inlineStr">
        <is>
          <t>Node.js、Express、SQLite、Nginx、 JavaScript、HTML、CSS、Docker Compose</t>
        </is>
      </c>
      <c r="M3">
        <v>3</v>
      </c>
      <c r="N3" t="inlineStr">
        <is>
          <t>核心服务、前端、网关、Compose 和文档真实存在且可运行，两个测试套件通过；但存在员工列表越权、店长跨店迁移和停用后旧令牌仍可用的问题。</t>
        </is>
      </c>
      <c r="O3">
        <v>4</v>
      </c>
      <c r="P3" t="inlineStr">
        <is>
          <t>已逐项实现“用户服务、门店服务、网关统一转发、前端登录/账号/角色/门店资料、独立数据库、容器编排、健康检查、接口文档和测试”；但隐含的角色隔离未完全遵守</t>
        </is>
      </c>
      <c r="Q3">
        <v>4</v>
      </c>
      <c r="R3" t="inlineStr">
        <is>
          <t>先检查空目录和工具版本，再拆成6个任务并用 TaskUpdate按服务、测试、网关、前端、编排推进，阶段状态基本清晰，但是没有在权限矩阵和安全验收上处理关键歧义，遗漏了高风险负向测试。</t>
        </is>
      </c>
      <c r="S3">
        <v>3</v>
      </c>
      <c r="T3" t="inlineStr">
        <is>
          <t>能根据Node 26/better-sqlite3报错升级依赖和镜像，也能发现Nginx无尾斜杠重定向丢认证头；但没有从“门店隔离”和“停用账号”推导列表过滤、令牌撤销、跨店迁移约束，属于推理覆盖不足。</t>
        </is>
      </c>
      <c r="U3">
        <v>3</v>
      </c>
      <c r="V3" t="inlineStr">
        <is>
          <t>能从依赖、测试和镜像失败中恢复，但存在多次失败重试，且容器测试并未执行测试套件，最后的完成声明超出了该命令能证明的范围。</t>
        </is>
      </c>
      <c r="W3"/>
      <c r="X3" t="inlineStr">
        <is>
          <t>梁甲正</t>
        </is>
      </c>
      <c r="Y3" s="3">
        <v>46272.9625</v>
      </c>
      <c r="Z3"/>
      <c r="AA3"/>
    </row>
    <row r="4" ht="25.5" customHeight="1">
      <c r="A4" t="inlineStr">
        <is>
          <t>当前多个进程或不同刷新入口同时运行时，同一个 Feed 可能被重复刷新，并且如果刷新过程较慢、失败或进程退出，也缺少可靠的任务恢复机制。请你为 Feed 刷新增加基于 PostgreSQL 的任务协调机制，实现使用数据库原子领取任务，并保证同一个 Feed 同时只有一个有效刷新任务，另外通过租约续期和过期接管处理长时间任务、失败和进程退出，旧租约失效后不能覆盖新任务的结果。后台调度、Worker、CLI、API、分类刷新和 UI 刷新都必须使用这套机制，同时保留现有的缓存请求、304、限流、失败重试、禁用 Feed、解析错误上限、batchSize 和 limitPerHost 行为，并补充必要的数据库迁移、配置和清理逻辑。</t>
        </is>
      </c>
      <c r="B4" t="inlineStr">
        <is>
          <t>59d7e33e-a979-4c32-97eb-3d4d155f0527</t>
        </is>
      </c>
      <c r="C4" t="inlineStr">
        <is>
          <t>8ccd9415-f6c1-4c19-b5a6-f20a92d6dc7d</t>
        </is>
      </c>
      <c r="D4" s="2" t="str">
        <f>=HYPERLINK("https://github.com/Xiang1218-Yu/miniflux/commit/a84533db6ca0a2ff9a47800fbf0326be6d9b3170", "https://github.com/Xiang1218-Yu/miniflux/commit/a84533db6ca0a2ff9a47800fbf0326be6d9b3170")</f>
        <v>https://github.com/Xiang1218-Yu/miniflux/commit/a84533db6ca0a2ff9a47800fbf0326be6d9b3170</v>
      </c>
      <c r="E4" t="inlineStr">
        <is>
          <t>59d7e33e-a979-4c32-97eb-3d4d155f0527.jsonl</t>
        </is>
      </c>
      <c r="F4" t="inlineStr">
        <is>
          <t>已容器化，可一键起环境</t>
        </is>
      </c>
      <c r="G4" t="inlineStr">
        <is>
          <t>Claude Code</t>
        </is>
      </c>
      <c r="H4" t="inlineStr">
        <is>
          <t>2.1.241</t>
        </is>
      </c>
      <c r="I4" t="inlineStr">
        <is>
          <t>MacOS/Linux</t>
        </is>
      </c>
      <c r="J4" t="inlineStr">
        <is>
          <t>feature迭代</t>
        </is>
      </c>
      <c r="K4" t="inlineStr">
        <is>
          <t>困难</t>
        </is>
      </c>
      <c r="L4" t="inlineStr">
        <is>
          <t>Go, PostgreSQL</t>
        </is>
      </c>
      <c r="M4">
        <v>2</v>
      </c>
      <c r="N4" t="inlineStr">
        <is>
          <t>当前复核中 go test -race、go build ./...、go vet ./... 均通过，但 internal/storage/feed.go:340-431 等写入 SQL 没有 token 条件，核心隔离要求仍存在竞态。</t>
        </is>
      </c>
      <c r="O4">
        <v>3</v>
      </c>
      <c r="P4" t="inlineStr">
        <is>
          <t>已覆盖迁移、配置、清理、租约领取和续期等要求，但提示词明确要求旧租约不能覆盖新结果，实际只在内存层检查 stillOwner，未形成数据库级约束。</t>
        </is>
      </c>
      <c r="Q4">
        <v>3</v>
      </c>
      <c r="R4" t="inlineStr">
        <is>
          <t>规划阶段拆分了入口、存储、迁移、配置和测试，但没有把“所有副作用写入必须携带 token”列为验收项，也没有安排刷新流程级接管测试。</t>
        </is>
      </c>
      <c r="S4">
        <v>3</v>
      </c>
      <c r="T4" t="inlineStr">
        <is>
          <t>遇到 PostgreSQL operator does not exist: timestamp with time zone &lt; interval 后改用 make_interval 并通过测试，但将本地标志等同于数据库 fencing，同时未识别检查与写入之间的并发窗口。</t>
        </is>
      </c>
      <c r="U4">
        <v>3</v>
      </c>
      <c r="V4" t="inlineStr">
        <is>
          <t>会话中多次重复读取 handler.go，并经历一次租约 SQL 类型错误，虽然完成了纠正和基础验证，但未执行覆盖旧任务写入隔离的端到端测试。</t>
        </is>
      </c>
      <c r="W4"/>
      <c r="X4" t="inlineStr">
        <is>
          <t>叶琪</t>
        </is>
      </c>
      <c r="Y4" s="3">
        <v>46272.98055555556</v>
      </c>
      <c r="Z4"/>
      <c r="AA4"/>
    </row>
    <row r="5" ht="25.5" customHeight="1">
      <c r="A5" t="inlineStr">
        <is>
          <t>在这个 WordVault 划词插件里把生词本重做一个完整的生词管理系统，替换现在的弹出页，并实现以下功能：
1. 弹出页改成带侧边导航的面板，分总览、单词列表、复习、导入导出、设置几页，用状态切换，不重开弹窗。
2. 总览给统计：累计收集词数、今天新增、今天复习次数、总查询次数，以及按词性分布的占比条。
3. 单词列表支持搜索、按词性筛选、按字母或查询次数或最近更新时间排序，分页每页 20 条。每条可展开看完整信息，能改翻译、删自定义笔记、删词。
4. 复习用间隔重复算法，别一次全出。队列做成卡片，先显示英文，回想后点开看释义和例句，再选认识、模糊、不认识，不同选择影响下次出现时间。排期用有依据的公式（类似 SM-2 简化版），不要固定间隔。
5. 单词支持打标签、分组（如阅读来源、主题），列表和复习都能按标签过滤。
6. 导出支持 JSON 和 CSV，导入能合并去重，重复单词不覆盖原有笔记。
7. 单词可朗读，用 Web Speech API，英式、美式可切换。
8. 翻译目标不写死 zh-CN，做成可配置，默认中文，设置里能换日语、韩语等。
9. 整段划词现在只能翻译、查不了里面的词。改成自动按句拆开、逐句翻译，并把句子里像生词的词列出来，点一下收进生词本。
10. 数据继续用现有 Dexie，升级后原记录不能丢；别破坏 Alt+Q 划词翻译逻辑。
背景：插件是 MV3 架构，background 是 service worker，走 chrome.runtime.sendMessage 通信；弹窗和划词卡片共用同一个 Dexie 库，保持这个关系。</t>
        </is>
      </c>
      <c r="B5" t="inlineStr">
        <is>
          <t>91598858-1626-4537-a317-e397e3aaf56d</t>
        </is>
      </c>
      <c r="C5" t="inlineStr">
        <is>
          <t>cf4de94b-6fdd-4cb4-bcab-1d52076677ee</t>
        </is>
      </c>
      <c r="D5" s="2" t="str">
        <f>=HYPERLINK("https://github.com/qianmo317/claudccode-solocc-0001/commit/c9b2bf218d12f72d8b6cf9a8715f7b07a96ff3be", "https://github.com/qianmo317/claudccode-solocc-0001/commit/c9b2bf218d12f72d8b6cf9a8715f7b07a96ff3be")</f>
        <v>https://github.com/qianmo317/claudccode-solocc-0001/commit/c9b2bf218d12f72d8b6cf9a8715f7b07a96ff3be</v>
      </c>
      <c r="E5" t="inlineStr">
        <is>
          <t>solocc-0001-trajectory.jsonl</t>
        </is>
      </c>
      <c r="F5" t="inlineStr">
        <is>
          <t>无外部依赖</t>
        </is>
      </c>
      <c r="G5" t="inlineStr">
        <is>
          <t>Claude Code</t>
        </is>
      </c>
      <c r="H5" t="inlineStr">
        <is>
          <t>2.1.263</t>
        </is>
      </c>
      <c r="I5" t="inlineStr">
        <is>
          <t>MacOS/Linux</t>
        </is>
      </c>
      <c r="J5" t="inlineStr">
        <is>
          <t>0-1代码生成</t>
        </is>
      </c>
      <c r="K5" t="inlineStr">
        <is>
          <t>困难</t>
        </is>
      </c>
      <c r="L5" t="inlineStr">
        <is>
          <t>JavaScript, Chrome MV3, Dexie</t>
        </is>
      </c>
      <c r="M5">
        <v>4</v>
      </c>
      <c r="N5" t="inlineStr">
        <is>
          <t>10 项需求全部落地且为真实工程改动：db.js 升级 Dexie v2（words 增加 pos、*tags 多值索引、due 索引，daily 统计表，upgrade 钩子对老词回填 rep/ef/interval/due/tags 不丢数据）、manifest.json 升至 2.0 并把 lib/tts.js 注入 content_scripts 与 web_accessible_resources、content.js 实现整句拆分/逐句翻译/句中实词点击收入生词本/整句+单词朗读、popup.js 实现多页导航、统计卡、检索/筛选/排序/分页、标签过滤、SM-2 复习队列与 exportJSON/exportCSV、新增 lib/tts.js（英式 en-GB/美式 en-US + 目标语言朗读）。共 7 文件 1767 行改动 + 新增 2 文件，无 TODO/stub。未发现需求级缺失；仅个别统计字段（每日查询次数、按天复习历史曲线）链路未逐一验证，属隐含小遗漏，不影响主体功能。</t>
        </is>
      </c>
      <c r="O5">
        <v>5</v>
      </c>
      <c r="P5" t="inlineStr">
        <is>
          <t>已逐条核对全部约束：保持 Alt+Q 划词翻译快捷键与原有收词链路；弹窗与划词卡片仍共用同一个 Dexie 库（v2 升级 + upgrade 钩子保住老记录）；翻译目标做成可配置 targetLang（默认 zh-CN）而非写死，voiceAccent 英式/美式可切换；沿用 MV3 架构、background 为 service worker 并走 chrome.runtime.sendMessage 通信；未引入新包/运行时依赖。无自作主张或越界改动。</t>
        </is>
      </c>
      <c r="Q5">
        <v>4</v>
      </c>
      <c r="R5" t="inlineStr">
        <is>
          <t>按模块拆解清晰且推进稳定（DB 层→清单/统计→复习队列→导入导出→内容脚本朗读），最终以「改动总览」表格逐文件说明改动。但会话内无显式计划/状态追踪存档可证（仅靠最终总览体现），属过程产物而非外部可见计划，故非满分。</t>
        </is>
      </c>
      <c r="S5">
        <v>5</v>
      </c>
      <c r="T5" t="inlineStr">
        <is>
          <t>关键点推理到位：Dexie 用 version 链 + upgrade 钩子对老记录回填 SM-2 字段与标签，避免升级丢数据；SM-2 采用 rep/ef/interval/due 标准字段排期而非固定间隔；句子 tokenize 用正则 /[A-Za-z][A-Za-z'-]*/g 覆盖字母、连字符、撇号实词并过滤为候选词；targetLang/voiceAccent 可配置并贯穿整段与单词朗读。方案正确、边界考虑充分，思考量与难度匹配。</t>
        </is>
      </c>
      <c r="U5">
        <v>4</v>
      </c>
      <c r="V5" t="inlineStr">
        <is>
          <t>实现范围较大（会话约 125 个 assistant 动作），分多文件逐步落地，并新增 lib/tts.js、popup.css；改前先读现有结构，工具调用整体高效，未见同文件被反复读取或反复重试。因题量本身大（多模块 + 数据结构升级）故调用数偏多，非最小化，属可进一步精简，给 4。</t>
        </is>
      </c>
      <c r="W5"/>
      <c r="X5" t="inlineStr">
        <is>
          <t>帅先伟</t>
        </is>
      </c>
      <c r="Y5" s="3">
        <v>46272.98055555556</v>
      </c>
      <c r="Z5"/>
      <c r="AA5"/>
    </row>
    <row r="6" ht="25.5" customHeight="1">
      <c r="A6" t="inlineStr">
        <is>
          <t>轨迹分析页点击“执行事件检测”会直接保存参数并替换事件，分析人员无法先判断结果。请改成先预览、后应用：预览返回处理曲线、噪声底、有效事件和越界数量，但不能改动轨迹、事件或审计日志。确认应用时必须使用刚预览的轨迹和参数，并沿用现有事务和权限规则。切换轨迹、线路筛选或修改参数后，旧预览立即失效。预览或应用失败时保留已保存结果并提示原因，同时防止重复提交。补充测试，证明预览不写库、应用会保存参数、事件和审计记录，后端测试和前端构建也要通过。不要改无关页面，不要提交或推送代码。</t>
        </is>
      </c>
      <c r="B6" t="inlineStr">
        <is>
          <t>de0a9a95-0ff1-493f-a967-12634d8241a2</t>
        </is>
      </c>
      <c r="C6" t="inlineStr">
        <is>
          <t>8d449569-52bb-4bce-95aa-7203c465355a</t>
        </is>
      </c>
      <c r="D6" s="2" t="str">
        <f>=HYPERLINK("https://github.com/tiezhu996/fiber-otdr-analysis-console/commit/ec6cfb83458b4530fbe5f20097097880199eba66", "https://github.com/tiezhu996/fiber-otdr-analysis-console/commit/ec6cfb83458b4530fbe5f20097097880199eba66")</f>
        <v>https://github.com/tiezhu996/fiber-otdr-analysis-console/commit/ec6cfb83458b4530fbe5f20097097880199eba66</v>
      </c>
      <c r="E6" t="inlineStr">
        <is>
          <t>de0a9a95-0ff1-493f-a967-12634d8241a2.jsonl</t>
        </is>
      </c>
      <c r="F6" t="inlineStr">
        <is>
          <t>已容器化，可一键起环境</t>
        </is>
      </c>
      <c r="G6" t="inlineStr">
        <is>
          <t>Claude Code</t>
        </is>
      </c>
      <c r="H6" t="inlineStr">
        <is>
          <t>2.1.251</t>
        </is>
      </c>
      <c r="I6" t="inlineStr">
        <is>
          <t>MacOS/Linux</t>
        </is>
      </c>
      <c r="J6" t="inlineStr">
        <is>
          <t>feature迭代</t>
        </is>
      </c>
      <c r="K6" t="inlineStr">
        <is>
          <t>困难</t>
        </is>
      </c>
      <c r="L6" t="inlineStr">
        <is>
          <t>Go, Gin, GORM, Vue 3, PostgreSQL, SQLite</t>
        </is>
      </c>
      <c r="M6">
        <v>4</v>
      </c>
      <c r="N6" t="inlineStr">
        <is>
          <t>预览不写库、应用保存参数和事件并记录审计、令牌单次使用、轨迹绑定、事务失败回滚、前端预览与应用界面均已实现，后端测试、竞态检测、前端构建和容器启动通过。扣分点是 frontend/src/stores/traces.ts 的 select() 在详情请求返回后才清空预览；慢请求下点击第 2 条轨迹时，页面仍显示第 1 条轨迹的预览和可点击的应用按钮。README.md 也保留了已失效的旧检测接口。</t>
        </is>
      </c>
      <c r="O6">
        <v>4</v>
      </c>
      <c r="P6" t="inlineStr">
        <is>
          <t>模型遵守了不提交或推送代码、不改无关页面、沿用事务和权限规则、补充测试并通过后端测试和前端构建等主要约束。未满足的明确要求是切换轨迹后旧预览立即失效；最终回复声称 select() 会立即清空预览，但代码和运行态核验均证明清空发生在详情请求返回之后。</t>
        </is>
      </c>
      <c r="Q6">
        <v>4</v>
      </c>
      <c r="R6" t="inlineStr">
        <is>
          <t>实现按后端数据结构与服务、路由与权限、后端测试、前端数据层与页面、最终验证分阶段推进，过程有持续状态说明和最终总结。开头没有给出完整任务拆解，也没有把切换轨迹、切换线路、修改参数三种失效条件逐项列为验收项，因此漏掉了轨迹切换的异步边界。</t>
        </is>
      </c>
      <c r="S6">
        <v>4</v>
      </c>
      <c r="T6" t="inlineStr">
        <is>
          <t>模型正确识别预览无副作用、一次性令牌绑定、应用事务、权限复用和失败回滚等核心设计点，并能定位 SQLite 测试污染和 TypeScript 类型问题后修正。扣分点是忽略 await 前后的异步状态边界，把请求完成后清空误判成点击后立即失效，最终总结也延续了该错误判断。</t>
        </is>
      </c>
      <c r="U6">
        <v>3</v>
      </c>
      <c r="V6" t="inlineStr">
        <is>
          <t>模型能从测试污染、类型错误和格式问题中恢复并完成验证，但工具调用明显冗余。原生轨迹共 91 次工具调用，其中 54 次 Read 只涉及 29 个唯一文件，多出 25 次重复读取；23 个文件被重复打开，frontend/src/api/client.ts 和 internal/algorithm/denoise.go 各读取 3 次。gofmt -l 已列出两个待格式化文件时，命令仍输出 gofmt clean，虽然后续修正，但过程信息不准确。</t>
        </is>
      </c>
      <c r="W6"/>
      <c r="X6" t="inlineStr">
        <is>
          <t>刘东</t>
        </is>
      </c>
      <c r="Y6" s="3">
        <v>46272.98055555556</v>
      </c>
      <c r="Z6"/>
      <c r="AA6"/>
    </row>
    <row r="7" ht="25.5" customHeight="1">
      <c r="A7" t="inlineStr">
        <is>
          <t>在这个英语听力 App 上做一轮精听和跟读相关的功能迭代，尽量不破坏现有结构：
跟读模式：播到某一行停住，留几秒跟读再自动继续下一行；设置里可调每行停留时长、跟读遍数。跟读能录音，回放对比，录音只留本地。
精听 AB 循环：选定一句设 A、B，在 A 到 B 之间循环，循环次数可调，歌词高亮跟随这一段。
变速播放：0.5 到 2 倍，0.25 步进；变速后歌词同步不能错位，核实浏览器变速后 currentTime 与歌词对得上。
听写模式：隐藏歌词，逐句播放，我在输入框写原句，和原词比对给正确率，错处标出；结果可存，下次续练。
生词和句子收藏：可对任意一句标记，句子里的词收进生词列表，支持导出；最好能从 LRC 统计词频，提示高频词。
播放历史与学习统计：记住每课上次听到哪、累计听时长，给最近 7 天听时长柱状图或日历视图。
播放队列：多课加进队列，顺序或随机播完自动切下一课。
现有本地上传、收藏、分类、深色模式别动；新功能要兼容手机迷你播放器形态，不只做桌面版。
学习记录存 localStorage 或 IndexedDB，不引后端，保持纯前端、能用 Docker 起。技术栈 React + Tailwind + Vite + PWA。</t>
        </is>
      </c>
      <c r="B7" t="inlineStr">
        <is>
          <t>6b272268-0b55-4229-8151-4ce7676e91bd</t>
        </is>
      </c>
      <c r="C7" t="inlineStr">
        <is>
          <t>7cfbb0ab-bfcf-4e12-b99b-f9bea7274b91</t>
        </is>
      </c>
      <c r="D7" s="2" t="str">
        <f>=HYPERLINK("https://github.com/qianmo317/claudccode-solocc-0002/commit/9fd2abfb1f8c9ad460e4d67749c0c0bd46d3da44", "https://github.com/qianmo317/claudccode-solocc-0002/commit/9fd2abfb1f8c9ad460e4d67749c0c0bd46d3da44")</f>
        <v>https://github.com/qianmo317/claudccode-solocc-0002/commit/9fd2abfb1f8c9ad460e4d67749c0c0bd46d3da44</v>
      </c>
      <c r="E7" t="inlineStr">
        <is>
          <t>solocc-0002-trajectory.jsonl</t>
        </is>
      </c>
      <c r="F7" t="inlineStr">
        <is>
          <t>已容器化，可一键起环境</t>
        </is>
      </c>
      <c r="G7" t="inlineStr">
        <is>
          <t>Claude Code</t>
        </is>
      </c>
      <c r="H7" t="inlineStr">
        <is>
          <t>2.1.263</t>
        </is>
      </c>
      <c r="I7" t="inlineStr">
        <is>
          <t>MacOS/Linux</t>
        </is>
      </c>
      <c r="J7" t="inlineStr">
        <is>
          <t>feature迭代</t>
        </is>
      </c>
      <c r="K7" t="inlineStr">
        <is>
          <t>困难</t>
        </is>
      </c>
      <c r="L7" t="inlineStr">
        <is>
          <t>TypeScript, React 18, Vite, Tailwind CSS, idb-keyval</t>
        </is>
      </c>
      <c r="M7">
        <v>5</v>
      </c>
      <c r="N7" t="inlineStr">
        <is>
          <t>9 项需求全部落地且验证通过（tsc 通过、生产构建通过、dev server 3000 端口冒烟通过）：跟读（ShadowPanel + useAudio 状态机）、AB 循环（ModeBar + Lyrics 行按钮，段内琥珀高亮）、变速（audio.playbackRate，只改速率，currentTime 仍在媒体时间轴，歌词不错位）、听写（DictationView，词级 LCS 比对+正确率，错处标注，结果可续练）、生词/句子收藏（停用词过滤、按词去重、导出 CSV/TXT、LRC 词频建议高频未收词）、历史统计（StatsChart，近 7 天柱状图+统计卡）、播放队列（QueuePanel，顺序/随机，onTrackEnded 驱动）、移动端（迷你条状态文字+全屏抽屉接入）。上传/收藏/分类/深色模式逻辑未动（5 改 + 10 新增文件）。无需求级缺失。</t>
        </is>
      </c>
      <c r="O7">
        <v>5</v>
      </c>
      <c r="P7" t="inlineStr">
        <is>
          <t>已逐条核对全部约束：本地上传/收藏/分类/深色模式逻辑未动；跟读录音只在本地（IndexedDB recordings.ts）；不引后端，学习记录全在 localStorage/IndexedDB；保留 Docker（compose up + 卷挂载热更）；新功能兼容手机迷你播放器形态；变速用 playbackRate 保证歌词不错位；麦克风权限受限时面板给提示而非报错。无越界改动、未引入后端依赖。</t>
        </is>
      </c>
      <c r="Q7">
        <v>4</v>
      </c>
      <c r="R7" t="inlineStr">
        <is>
          <t>按功能拆解为独立组件与 hooks（ShadowPanel/ModeBar/DictationView/StatsChart/QueuePanel/StudyCenter/useRecorder/useStudyData/recordings/study），最终交付说明结构清晰；但会话内无显式计划/状态追踪存档可证（仅靠最后说明体现），故非满分。</t>
        </is>
      </c>
      <c r="S7">
        <v>5</v>
      </c>
      <c r="T7" t="inlineStr">
        <is>
          <t>关键判断到位：变速用 audio.playbackRate（不改媒体时间轴），使变速后 currentTime 仍与 LRC 时间戳对齐、歌词不错位；听写用词级 LCS 比对并区分漏词/错词/多词；生词收集做停用词过滤+按词去重；LRC 词频用于高频未收词建议；录音 Blob 只存 IndexedDB 不上传。思考量与难度匹配。</t>
        </is>
      </c>
      <c r="U7">
        <v>4</v>
      </c>
      <c r="V7" t="inlineStr">
        <is>
          <t>范围大，用独立组件/hooks 落地（5 改 + 10 新增），并跑通 tsc、生产构建、dev server 冒烟；整体高效，未见同文件反复处理或反复重试；因功能多调用数偏多，属可进一步精简，给 4。</t>
        </is>
      </c>
      <c r="W7"/>
      <c r="X7" t="inlineStr">
        <is>
          <t>帅先伟</t>
        </is>
      </c>
      <c r="Y7" s="3">
        <v>46272.98055555556</v>
      </c>
      <c r="Z7"/>
      <c r="AA7"/>
    </row>
    <row r="8" ht="25.5" customHeight="1">
      <c r="A8" t="inlineStr">
        <is>
          <t>开发“城市声音地图”平台：Vue3 构建交互式地图与录音上传界面，Node.js 提供音频存储、地点标注、标签检索和评论 API。用户可探索不同街区的环境声音，按时间、主题筛选并收藏声音故事。</t>
        </is>
      </c>
      <c r="B8" t="inlineStr">
        <is>
          <t>8176ff4a-4fc5-4fb3-837e-64e4554df94e</t>
        </is>
      </c>
      <c r="C8" t="inlineStr">
        <is>
          <t>1af3bf92-06e2-4a96-a3ac-cd25dc508e14</t>
        </is>
      </c>
      <c r="D8" s="2" t="str">
        <f>=HYPERLINK("https://github.com/StarkXiao/xcf-2/commit/f758537a852f90604d07993353248041eaa2bc62", "https://github.com/StarkXiao/xcf-2/commit/f758537a852f90604d07993353248041eaa2bc62")</f>
        <v>https://github.com/StarkXiao/xcf-2/commit/f758537a852f90604d07993353248041eaa2bc62</v>
      </c>
      <c r="E8" t="inlineStr">
        <is>
          <t>8176ff4a-4fc5-4fb3-837e-64e4554df94e.jsonl</t>
        </is>
      </c>
      <c r="F8" t="inlineStr">
        <is>
          <t>有外部依赖，未容器化</t>
        </is>
      </c>
      <c r="G8" t="inlineStr">
        <is>
          <t>Claude Code</t>
        </is>
      </c>
      <c r="H8" t="inlineStr">
        <is>
          <t>2.1.263</t>
        </is>
      </c>
      <c r="I8" t="inlineStr">
        <is>
          <t>MacOS/Linux</t>
        </is>
      </c>
      <c r="J8" t="inlineStr">
        <is>
          <t>0-1代码生成</t>
        </is>
      </c>
      <c r="K8" t="inlineStr">
        <is>
          <t>困难</t>
        </is>
      </c>
      <c r="L8" t="inlineStr">
        <is>
          <t>Vue 3, Vite, Leaflet, Node.js, Express, multer</t>
        </is>
      </c>
      <c r="M8">
        <v>5</v>
      </c>
      <c r="N8" t="inlineStr">
        <is>
          <t>完成UploadModal、FilterSidebar、App.vue 和地图选点流程。`npm run build` 成功；Vite 页面和 API/audio 代理返回 200，Range 音频返回 206，几个主要组件转换也都返回 200。</t>
        </is>
      </c>
      <c r="O8">
        <v>5</v>
      </c>
      <c r="P8" t="inlineStr">
        <is>
          <t>地图、麦克风/文件上传、地点标注、标签和关键词搜索、时间/主题/收藏筛选、评论及音频存储都能在代码中找到对应实现，和原需求相符。</t>
        </is>
      </c>
      <c r="Q8">
        <v>5</v>
      </c>
      <c r="R8" t="inlineStr">
        <is>
          <t>从上轮中断的上传弹窗继续，接着完成筛选侧栏和 App.vue 连接，再处理资源释放，最后跑构建和联调检查，步骤衔接正常。</t>
        </is>
      </c>
      <c r="S8">
        <v>5</v>
      </c>
      <c r="T8" t="inlineStr">
        <is>
          <t>查明上传接口本身成功，问题来自 shell 变量混入日志；另外发现预览 object URL 每次重算都新建，补了 revoke。之后检查了只看收藏、组件编译和代理链路。</t>
        </is>
      </c>
      <c r="U8">
        <v>4</v>
      </c>
      <c r="V8" t="inlineStr">
        <is>
          <t>构建和联调命令都成功，没有新的失败构建。 shell 测试错误和 stream 中断通过恢复、重跑解决了。</t>
        </is>
      </c>
      <c r="W8"/>
      <c r="X8" t="inlineStr">
        <is>
          <t>肖常峰</t>
        </is>
      </c>
      <c r="Y8" s="3">
        <v>46272.98055555556</v>
      </c>
      <c r="Z8"/>
      <c r="AA8"/>
    </row>
    <row r="9" ht="25.5" customHeight="1">
      <c r="A9" t="inlineStr">
        <is>
          <t>把现在只能查看的“规则中心”改成可配置页面：所有检测规则由后端统一提供，支持启用和停用，并将配置保存到 SQLite。新建审查时只记录已启用规则的检测结果，历史审查不能受后续配置影响；系统至少要保留一条启用规则，关闭失败时前端需提示并恢复状态。同时动态展示启用规则数，补充相关后端测试，保证现有风险豁免功能不受影响，pytest -q 和 npm run build 均能通过。</t>
        </is>
      </c>
      <c r="B9" t="inlineStr">
        <is>
          <t>6c3fd7ce-b14e-4162-9c9e-a4408de6e110</t>
        </is>
      </c>
      <c r="C9" t="inlineStr">
        <is>
          <t>0e37222c-77af-4e04-8777-d0e8fb68208d</t>
        </is>
      </c>
      <c r="D9" s="2" t="str">
        <f>=HYPERLINK("https://github.com/makabaka-boop/contract-lens/commit/3b0c88dae13b7492cc52f4318b3b53741f83288a", "https://github.com/makabaka-boop/contract-lens/commit/3b0c88dae13b7492cc52f4318b3b53741f83288a")</f>
        <v>https://github.com/makabaka-boop/contract-lens/commit/3b0c88dae13b7492cc52f4318b3b53741f83288a</v>
      </c>
      <c r="E9" t="inlineStr">
        <is>
          <t>6c3fd7ce-b14e-4162-9c9e-a4408de6e110.jsonl</t>
        </is>
      </c>
      <c r="F9" t="inlineStr">
        <is>
          <t>无外部依赖</t>
        </is>
      </c>
      <c r="G9" t="inlineStr">
        <is>
          <t>Claude Code</t>
        </is>
      </c>
      <c r="H9" t="inlineStr">
        <is>
          <t>2.1.263</t>
        </is>
      </c>
      <c r="I9" t="inlineStr">
        <is>
          <t>MacOS/Linux</t>
        </is>
      </c>
      <c r="J9" t="inlineStr">
        <is>
          <t>feature迭代</t>
        </is>
      </c>
      <c r="K9" t="inlineStr">
        <is>
          <t>困难</t>
        </is>
      </c>
      <c r="L9" t="inlineStr">
        <is>
          <t>Python, FastAPI, SQLite, pytest, TypeScript, React, Vite</t>
        </is>
      </c>
      <c r="M9">
        <v>4</v>
      </c>
      <c r="N9" t="inlineStr">
        <is>
          <t>主要功能都完成了。规则改为由后端统一返回，启停状态会保存到 SQLite；新建审查只保存启用规则产生的结果，修改配置不会影响历史记录。前端增加了规则开关、启用数量和失败回滚提示，风险豁免也有回归测试。实际复跑结果是后端 17 条测试通过，前端构建成功。但是因为前端没有捕获网络请求直接失败的情况。</t>
        </is>
      </c>
      <c r="O9">
        <v>4</v>
      </c>
      <c r="P9" t="inlineStr">
        <is>
          <t>需求里提到的功能和测试项基本都做到了，也没有改动原有风险豁免逻辑。模型额外创建并推送了 worktree-rules-config 分支，这一步题面中没有要求。</t>
        </is>
      </c>
      <c r="Q9">
        <v>5</v>
      </c>
      <c r="R9" t="inlineStr">
        <is>
          <t>开始先看了项目结构，然后按后端规则配置、测试、前端页面和最终验证几个阶段推进。过程中有更新任务状态，最后也逐项说明了实现和测试结果，整体比较清楚。</t>
        </is>
      </c>
      <c r="S9">
        <v>3</v>
      </c>
      <c r="T9" t="inlineStr">
        <is>
          <t>整体实现思路没有问题，但排查测试失败时绕了不少路。实际原因是模型把 new_json 写成了 new_value，一开始却怀疑数据库路径、sqlite3.Row 和变量遮蔽，尝试多次后才回头检查源码找到拼写错误。最后虽然修好了，但定位过程不够直接。</t>
        </is>
      </c>
      <c r="U9">
        <v>3</v>
      </c>
      <c r="V9" t="inlineStr">
        <is>
          <t>工具调用比较拖沓。围绕同一个 row_to_change 报错，连续做了临时数据库复现、逐列读取、字节码检查等十多次排查，最后发现只是字段名写错。另外还有一次 worktree 路径限制报错和一次端口占用，处理后测试及构建都通过了。</t>
        </is>
      </c>
      <c r="W9"/>
      <c r="X9" t="inlineStr">
        <is>
          <t>张鑫宇</t>
        </is>
      </c>
      <c r="Y9" s="3">
        <v>46272.979166666664</v>
      </c>
      <c r="Z9"/>
      <c r="AA9"/>
    </row>
    <row r="10" ht="25.5" customHeight="1">
      <c r="A10" t="inlineStr">
        <is>
          <t>做个请假补课的功能吧。现在学员请假都是线下记，后面补没补、课时扣没扣很容易乱。
前台能登记请假，管理员审核；审核通过后自动生成一条待补课记录。补完课以后把上课记录和剩余课时一起处理掉。
注意别重复请假、重复审核或者重复扣课，原来的报名、排课这些功能也别受影响。核心场景自己补几个测试跑一下。</t>
        </is>
      </c>
      <c r="B10" t="inlineStr">
        <is>
          <t>39bcfcc7-7c30-4c14-9b76-0cf04a027a5a</t>
        </is>
      </c>
      <c r="C10" t="inlineStr">
        <is>
          <t>81e712b3-e0f3-4a06-abe2-76e0c0c45678</t>
        </is>
      </c>
      <c r="D10" s="2" t="str">
        <f>=HYPERLINK("https://github.com/zzvv/zw-21-1/commit/ff5418aa723aa585b07f1ef83cb09e52b8ec9920", "https://github.com/zzvv/zw-21-1/commit/ff5418aa723aa585b07f1ef83cb09e52b8ec9920")</f>
        <v>https://github.com/zzvv/zw-21-1/commit/ff5418aa723aa585b07f1ef83cb09e52b8ec9920</v>
      </c>
      <c r="E10" t="inlineStr">
        <is>
          <t>39bcfcc7-7c30-4c14-9b76-0cf04a027a5a.jsonl</t>
        </is>
      </c>
      <c r="F10" t="inlineStr">
        <is>
          <t>有外部依赖，未容器化</t>
        </is>
      </c>
      <c r="G10" t="inlineStr">
        <is>
          <t>Claude Code</t>
        </is>
      </c>
      <c r="H10" t="inlineStr">
        <is>
          <t>2.1.263</t>
        </is>
      </c>
      <c r="I10" t="inlineStr">
        <is>
          <t>MacOS/Linux</t>
        </is>
      </c>
      <c r="J10" t="inlineStr">
        <is>
          <t>feature迭代</t>
        </is>
      </c>
      <c r="K10" t="inlineStr">
        <is>
          <t>困难</t>
        </is>
      </c>
      <c r="L10" t="inlineStr">
        <is>
          <t>Python、FastAPI、SQLAlchemy、MySQL、Vue 3、Element Plus</t>
        </is>
      </c>
      <c r="M10">
        <v>3</v>
      </c>
      <c r="N10" t="inlineStr">
        <is>
          <t>完成了请假登记、审核、生成待补课、补课扣课，以及对应前后端页面和 16 个测试。已有 MySQL 库的增量迁移没有补齐，旧表缺少 makeup_id 时可能影响上课记录。</t>
        </is>
      </c>
      <c r="O10">
        <v>3</v>
      </c>
      <c r="P10" t="inlineStr">
        <is>
          <t>登记请假、管理员审核、补课记录、课时扣减和重复操作拦截都有实现。现有数据库表结构升级没有处理完整，原有上课记录在已初始化环境下存在风险。</t>
        </is>
      </c>
      <c r="Q10">
        <v>4</v>
      </c>
      <c r="R10" t="inlineStr">
        <is>
          <t>先查看现有模型、路由、前端和依赖，再按后端、测试、前端、构建的顺序推进。中途测试失败后定位到报名状态设置冲突，并修正了测试。</t>
        </is>
      </c>
      <c r="S10">
        <v>3</v>
      </c>
      <c r="T10" t="inlineStr">
        <is>
          <t>能发现并处理请假和补课对象互相引用导致的序列化递归，也考虑了重复审核和重复扣课。没有把已有数据库的表结构迁移纳入实现，落地边界考虑不足。</t>
        </is>
      </c>
      <c r="U10">
        <v>4</v>
      </c>
      <c r="V10" t="inlineStr">
        <is>
          <t>依赖安装被 PEP 668 和网络 SSL 问题阻断后，改用内存 SQLite 和标准库 unittest 完成验证；16 个测试通过，前端构建也通过。</t>
        </is>
      </c>
      <c r="W10"/>
      <c r="X10" t="inlineStr">
        <is>
          <t>周伟</t>
        </is>
      </c>
      <c r="Y10" s="3">
        <v>46272.99375</v>
      </c>
      <c r="Z10"/>
      <c r="AA10"/>
    </row>
    <row r="11" ht="25.5" customHeight="1">
      <c r="A11" t="inlineStr">
        <is>
          <t>
客服向外部服务商提供排障数据前需统一脱敏。请建设策略编排服务：运营可在网页创建并版本化邮箱、手机号、身份证及正则规则，发布后批量处理JSONL，重复请求不得生成重复任务。任务支持并发、取消和重启续跑，异常时不能丢失进度，并记录规则命中与状态审计。用Go、React和SQLite实现API与页面，提供Docker Compose一键启动，补齐规则、恢复及端到端测试。</t>
        </is>
      </c>
      <c r="B11" t="inlineStr">
        <is>
          <t>2d3a3a80-de97-4b2c-9a10-61d39c8447a2</t>
        </is>
      </c>
      <c r="C11" t="inlineStr">
        <is>
          <t>6793483e-992b-4f35-8f94-c540c4a644eb</t>
        </is>
      </c>
      <c r="D11" s="2" t="str">
        <f>=HYPERLINK("https://github.com/fddhuwenjie/cc-redaction-orchestrator-pilot-20260907/commit/28b4aeaa5888b9fb6067f3fbbb3bc40b883ea6d4", "https://github.com/fddhuwenjie/cc-redaction-orchestrator-pilot-20260907/commit/28b4aeaa5888b9fb6067f3fbbb3bc40b883ea6d4")</f>
        <v>https://github.com/fddhuwenjie/cc-redaction-orchestrator-pilot-20260907/commit/28b4aeaa5888b9fb6067f3fbbb3bc40b883ea6d4</v>
      </c>
      <c r="E11" t="inlineStr">
        <is>
          <t>ClaudeCodeCLI_第一轮代码生成轨迹.jsonl</t>
        </is>
      </c>
      <c r="F11" t="inlineStr">
        <is>
          <t>已容器化，可一键起环境</t>
        </is>
      </c>
      <c r="G11" t="inlineStr">
        <is>
          <t>Claude Code</t>
        </is>
      </c>
      <c r="H11" t="inlineStr">
        <is>
          <t>2.1.228</t>
        </is>
      </c>
      <c r="I11" t="inlineStr">
        <is>
          <t>MacOS/Linux</t>
        </is>
      </c>
      <c r="J11" t="inlineStr">
        <is>
          <t>0-1代码生成</t>
        </is>
      </c>
      <c r="K11" t="inlineStr">
        <is>
          <t>困难</t>
        </is>
      </c>
      <c r="L11" t="inlineStr">
        <is>
          <t>Go 1.25、React 18、TypeScript 5.6、SQLite（modernc.org/sqlite）、Docker Compose、Playwright</t>
        </is>
      </c>
      <c r="M11">
        <v>3</v>
      </c>
      <c r="N11" t="inlineStr">
        <is>
          <t>后端测试、静态检查、并发检测和前端构建均通过，容器也能健康启动；但空数据库返回空值后，策略页面执行列表遍历即崩溃，真实端到端流程无法进入策略管理，模型仍宣称实现完成，交付需要修复后才能正常使用。</t>
        </is>
      </c>
      <c r="O11">
        <v>4</v>
      </c>
      <c r="P11" t="inlineStr">
        <is>
          <t>明确要求的技术栈、并发取消、重启续跑、幂等审计和测试均有对应实现，也未擅自更换技术方案。主要偏差是端到端测试只完成文件编写，没有在可运行的浏览器环境确认成功，存在明确验证缺口。</t>
        </is>
      </c>
      <c r="Q11">
        <v>4</v>
      </c>
      <c r="R11" t="inlineStr">
        <is>
          <t>模型按后端、前端、容器化、测试与文档逐步推进，并使用任务状态更新记录阶段，复杂任务拆解总体清楚。后半段在浏览器依赖和端到端测试上多次切换方案，排障顺序略显反复，最终也没有把页面真实可用作为完成门槛。</t>
        </is>
      </c>
      <c r="S11">
        <v>3</v>
      </c>
      <c r="T11" t="inlineStr">
        <is>
          <t>模型正确处理了幂等请求、事务串行化、批次提交、取消与重启恢复等复杂状态，并通过压力和恢复测试验证。关键不足是没有统一空集合契约，未推导出空数据库是必然首屏场景，也未从端到端失败继续定位页面崩溃根因。</t>
        </is>
      </c>
      <c r="U11">
        <v>3</v>
      </c>
      <c r="V11" t="inlineStr">
        <is>
          <t>主要构建测试均实际执行，但轨迹围绕浏览器安装、运行入口和依赖检查进行了多轮重复尝试，还出现错误工作目录与重复验证命令。最终没有跑通真实浏览器流程，工具选择与排障效率仍有明显提升空间。</t>
        </is>
      </c>
      <c r="W11"/>
      <c r="X11" t="inlineStr">
        <is>
          <t>胡文杰</t>
        </is>
      </c>
      <c r="Y11" s="3">
        <v>46273</v>
      </c>
      <c r="Z11"/>
      <c r="AA11"/>
    </row>
  </sheetData>
  <dataValidations count="5">
    <dataValidation allowBlank="false" sqref="F2:F10" type="list">
      <formula1>"无外部依赖,有外部依赖，未容器化,已容器化，可一键起环境"</formula1>
    </dataValidation>
    <dataValidation allowBlank="false" sqref="G2:G10" type="list">
      <formula1>"Claude Code,Codex CLI"</formula1>
    </dataValidation>
    <dataValidation allowBlank="false" sqref="I2:I10" type="list">
      <formula1>"MacOS/Linux,Windows"</formula1>
    </dataValidation>
    <dataValidation allowBlank="false" sqref="J2:J10" type="list">
      <formula1>"Bug修复,0-1代码生成,feature迭代,代码理解,代码重构,工程化,代码测试"</formula1>
    </dataValidation>
    <dataValidation allowBlank="false" sqref="K2:K10" type="list">
      <formula1>"简单,中等,困难,地狱"</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