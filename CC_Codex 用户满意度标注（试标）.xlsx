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true" applyAlignment="true">
      <alignment vertical="center"/>
    </xf>
    <xf numFmtId="0" fontId="2" fillId="0" borderId="0" xfId="0" applyFont="true" applyAlignment="false">
      <alignment/>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 min="29" max="29" width="19" customWidth="1"/>
    <col min="30" max="30" width="19" customWidth="1"/>
  </cols>
  <sheetData>
    <row r="1" ht="13" customHeight="1">
      <c r="A1" s="1" t="inlineStr">
        <is>
          <t>User Prompt</t>
        </is>
      </c>
      <c r="B1" s="1" t="inlineStr">
        <is>
          <t>SessionID</t>
        </is>
      </c>
      <c r="C1" s="1" t="inlineStr">
        <is>
          <t>TurnID/PromptID</t>
        </is>
      </c>
      <c r="D1" s="1" t="inlineStr">
        <is>
          <t>当前对话轮次排序</t>
        </is>
      </c>
      <c r="E1" s="1" t="inlineStr">
        <is>
          <t>初始环境快照</t>
        </is>
      </c>
      <c r="F1" s="1" t="inlineStr">
        <is>
          <t>轨迹文件</t>
        </is>
      </c>
      <c r="G1" s="1" t="inlineStr">
        <is>
          <t>环境可复现等级</t>
        </is>
      </c>
      <c r="H1" s="1" t="inlineStr">
        <is>
          <t>Harness</t>
        </is>
      </c>
      <c r="I1" s="1" t="inlineStr">
        <is>
          <t>Harness 版本</t>
        </is>
      </c>
      <c r="J1" s="1" t="inlineStr">
        <is>
          <t>操作系统</t>
        </is>
      </c>
      <c r="K1" s="1" t="inlineStr">
        <is>
          <t>任务类型</t>
        </is>
      </c>
      <c r="L1" s="1" t="inlineStr">
        <is>
          <t>任务难度</t>
        </is>
      </c>
      <c r="M1" s="1" t="inlineStr">
        <is>
          <t>语言/框架</t>
        </is>
      </c>
      <c r="N1" s="1" t="inlineStr">
        <is>
          <t>交付完整性</t>
        </is>
      </c>
      <c r="O1" s="1" t="inlineStr">
        <is>
          <t>交付完整性 - 描述</t>
        </is>
      </c>
      <c r="P1" s="1" t="inlineStr">
        <is>
          <t>指令遵循</t>
        </is>
      </c>
      <c r="Q1" s="1" t="inlineStr">
        <is>
          <t>指令遵循 - 描述</t>
        </is>
      </c>
      <c r="R1" s="1" t="inlineStr">
        <is>
          <t>任务规划</t>
        </is>
      </c>
      <c r="S1" s="1" t="inlineStr">
        <is>
          <t>任务规划 - 描述</t>
        </is>
      </c>
      <c r="T1" s="1" t="inlineStr">
        <is>
          <t>推理能力</t>
        </is>
      </c>
      <c r="U1" s="1" t="inlineStr">
        <is>
          <t>推理能力 - 描述</t>
        </is>
      </c>
      <c r="V1" s="1" t="inlineStr">
        <is>
          <t>执行能力</t>
        </is>
      </c>
      <c r="W1" s="1" t="inlineStr">
        <is>
          <t>执行能力 - 描述</t>
        </is>
      </c>
      <c r="X1" s="1" t="inlineStr">
        <is>
          <t>其他问题</t>
        </is>
      </c>
      <c r="Y1" s="1" t="inlineStr">
        <is>
          <t>提交人</t>
        </is>
      </c>
      <c r="Z1" s="1" t="inlineStr">
        <is>
          <t>提交时间</t>
        </is>
      </c>
      <c r="AA1" s="1" t="inlineStr">
        <is>
          <t>质检结果</t>
        </is>
      </c>
      <c r="AB1" s="1" t="inlineStr">
        <is>
          <t>父记录</t>
        </is>
      </c>
      <c r="AC1" s="1" t="inlineStr">
        <is>
          <t>审核备注</t>
        </is>
      </c>
      <c r="AD1" s="1" t="inlineStr">
        <is>
          <t>父记录 2</t>
        </is>
      </c>
    </row>
    <row r="2" ht="25.5" customHeight="1">
      <c r="A2" t="inlineStr">
        <is>
          <t>现有用户服务已经能单独启动了，请把 Kong 3.5 的路由配置补完整。通过网关访问用户注册、登录、查询和健康检查接口，直接绕过网关的地址在文档里标成开发用途；配置文件不要使用 alpine 镜像标签。</t>
        </is>
      </c>
      <c r="B2" t="inlineStr">
        <is>
          <t>a0e3650c-eae4-4441-83d2-d93481346227</t>
        </is>
      </c>
      <c r="C2" t="inlineStr">
        <is>
          <t>140b19ac-8361-4fea-ba31-6067b73d31df</t>
        </is>
      </c>
      <c r="D2" t="inlineStr">
        <is>
          <t>1</t>
        </is>
      </c>
      <c r="E2" s="2" t="str">
        <f>=HYPERLINK("https://github.com/ljzljz520-eng/label-419/commit/7fc497b3125a29841ea8f79176db58da899d2749", "https://github.com/ljzljz520-eng/label-419/commit/7fc497b3125a29841ea8f79176db58da899d2749")</f>
        <v>https://github.com/ljzljz520-eng/label-419/commit/7fc497b3125a29841ea8f79176db58da899d2749</v>
      </c>
      <c r="F2" t="inlineStr">
        <is>
          <t>a0e3650c-eae4-4441-83d2-d93481346227.jsonl</t>
        </is>
      </c>
      <c r="G2" t="inlineStr">
        <is>
          <t>已容器化，可一键起环境</t>
        </is>
      </c>
      <c r="H2" t="inlineStr">
        <is>
          <t>Claude Code</t>
        </is>
      </c>
      <c r="I2" t="inlineStr">
        <is>
          <t>2.1.263</t>
        </is>
      </c>
      <c r="J2" t="inlineStr">
        <is>
          <t>MacOS/Linux</t>
        </is>
      </c>
      <c r="K2" t="inlineStr">
        <is>
          <t>feature迭代</t>
        </is>
      </c>
      <c r="L2" t="inlineStr">
        <is>
          <t>中等</t>
        </is>
      </c>
      <c r="M2" t="inlineStr">
        <is>
          <t>Kong 3.5、Docker Compose、FastAPI、Vue 3</t>
        </is>
      </c>
      <c r="N2">
        <v>4</v>
      </c>
      <c r="O2" t="inlineStr">
        <is>
          <t>三处镜像配置完成显式要求，独立复跑也成功。扣分点是未保留注册、登录、查询的网关级回归验证，也未用真实数据库服务跑完整业务链。</t>
        </is>
      </c>
      <c r="P2">
        <v>5</v>
      </c>
      <c r="Q2" t="inlineStr">
        <is>
          <t>逐条检查了Kong 3.5路由、注册/登录/查询/健康四类网关访问、直连地址开发用途标记及“配置文件不要使用alpine镜像标签”约束，最终状态全部遵循，且修改范围与任务相关。</t>
        </is>
      </c>
      <c r="R2">
        <v>4</v>
      </c>
      <c r="S2" t="inlineStr">
        <is>
          <t>依次定位项目、真实路由、前端/监控/文档和镜像标签，在编辑前形成路由/镜像/文档三项明确结论，之后完成复验和清理；不足是开头只有一句总目标，没有先列出可验收矩阵，导致中间验证多次临时调整。</t>
        </is>
      </c>
      <c r="T2">
        <v>4</v>
      </c>
      <c r="U2" t="inlineStr">
        <is>
          <t>正确把FastAPI的auth，health映射到不剥离前缀的Kong路由，并识别健康路由缺少OPTIONS，镜像迁移时也同步把apk改为 apt。
主要不足是将mock 转发成功识别为实际业务端到端正常，虽在最终风险中主动披露，仍属于边界分析不足。</t>
        </is>
      </c>
      <c r="V2">
        <v>3</v>
      </c>
      <c r="W2" t="inlineStr">
        <is>
          <t>有高质量的批量检索、Kong真实解析、四路径代理矩阵和最终清理，但调用中出现DB模式遗漏、错误挂载、容器内缺curl、两次Admin JSON键误判，且至少一次 traceback被成功退出码掩盖</t>
        </is>
      </c>
      <c r="X2"/>
      <c r="Y2" t="inlineStr">
        <is>
          <t>梁甲正</t>
        </is>
      </c>
      <c r="Z2" s="3">
        <v>46272.9375</v>
      </c>
      <c r="AA2" t="inlineStr">
        <is>
          <t>通过</t>
        </is>
      </c>
      <c r="AB2"/>
      <c r="AC2"/>
      <c r="AD2"/>
    </row>
    <row r="3" ht="25.5" customHeight="1">
      <c r="A3" t="inlineStr">
        <is>
          <t>从0做一个连锁门店账号中心。拆出用户服务和门店服务，网关统一转发，前端提供门店员工登录、账号管理、角色分配和门店资料页；每个服务独立数据库模式。需要容器编排、健康检查、接口文档和测试。</t>
        </is>
      </c>
      <c r="B3" t="inlineStr">
        <is>
          <t>bfa84032-ba27-486c-8f72-d4a042562d01</t>
        </is>
      </c>
      <c r="C3" t="inlineStr">
        <is>
          <t>ac84b551-a96a-40d3-8c81-c8a1abcf7a44</t>
        </is>
      </c>
      <c r="D3" t="inlineStr">
        <is>
          <t>1</t>
        </is>
      </c>
      <c r="E3" s="2" t="str">
        <f>=HYPERLINK("https://github.com/ljzljz520-eng/419-0-1/commit/01a5ddc653e433b9e42ceeb53c7637547aed0c63", "https://github.com/ljzljz520-eng/419-0-1/commit/01a5ddc653e433b9e42ceeb53c7637547aed0c63")</f>
        <v>https://github.com/ljzljz520-eng/419-0-1/commit/01a5ddc653e433b9e42ceeb53c7637547aed0c63</v>
      </c>
      <c r="F3" t="inlineStr">
        <is>
          <t>bfa84032-ba27-486c-8f72-d4a042562d01.jsonl</t>
        </is>
      </c>
      <c r="G3" t="inlineStr">
        <is>
          <t>已容器化，可一键起环境</t>
        </is>
      </c>
      <c r="H3" t="inlineStr">
        <is>
          <t>Claude Code</t>
        </is>
      </c>
      <c r="I3" t="inlineStr">
        <is>
          <t>2.1.263</t>
        </is>
      </c>
      <c r="J3" t="inlineStr">
        <is>
          <t>MacOS/Linux</t>
        </is>
      </c>
      <c r="K3" t="inlineStr">
        <is>
          <t>0-1代码生成</t>
        </is>
      </c>
      <c r="L3" t="inlineStr">
        <is>
          <t>困难</t>
        </is>
      </c>
      <c r="M3" t="inlineStr">
        <is>
          <t>Node.js、Express、SQLite、Nginx、 JavaScript、HTML、CSS、Docker Compose</t>
        </is>
      </c>
      <c r="N3">
        <v>3</v>
      </c>
      <c r="O3" t="inlineStr">
        <is>
          <t>核心服务、前端、网关、Compose 和文档真实存在且可运行，两个测试套件通过；但存在员工列表越权、店长跨店迁移和停用后旧令牌仍可用的问题。</t>
        </is>
      </c>
      <c r="P3">
        <v>4</v>
      </c>
      <c r="Q3" t="inlineStr">
        <is>
          <t>已逐项实现“用户服务、门店服务、网关统一转发、前端登录/账号/角色/门店资料、独立数据库、容器编排、健康检查、接口文档和测试”；但隐含的角色隔离未完全遵守</t>
        </is>
      </c>
      <c r="R3">
        <v>4</v>
      </c>
      <c r="S3" t="inlineStr">
        <is>
          <t>先检查空目录和工具版本，再拆成6个任务并用 TaskUpdate按服务、测试、网关、前端、编排推进，阶段状态基本清晰，但是没有在权限矩阵和安全验收上处理关键歧义，遗漏了高风险负向测试。</t>
        </is>
      </c>
      <c r="T3">
        <v>3</v>
      </c>
      <c r="U3" t="inlineStr">
        <is>
          <t>能根据Node 26/better-sqlite3报错升级依赖和镜像，也能发现Nginx无尾斜杠重定向丢认证头；但没有从“门店隔离”和“停用账号”推导列表过滤、令牌撤销、跨店迁移约束，属于推理覆盖不足。</t>
        </is>
      </c>
      <c r="V3">
        <v>3</v>
      </c>
      <c r="W3" t="inlineStr">
        <is>
          <t>能从依赖、测试和镜像失败中恢复，但存在多次失败重试，且容器测试并未执行测试套件，最后的完成声明超出了该命令能证明的范围。</t>
        </is>
      </c>
      <c r="X3"/>
      <c r="Y3" t="inlineStr">
        <is>
          <t>梁甲正</t>
        </is>
      </c>
      <c r="Z3" s="3">
        <v>46272.9625</v>
      </c>
      <c r="AA3" t="inlineStr">
        <is>
          <t>通过</t>
        </is>
      </c>
      <c r="AB3"/>
      <c r="AC3"/>
      <c r="AD3"/>
    </row>
    <row r="4" ht="25.5" customHeight="1">
      <c r="A4" t="inlineStr">
        <is>
          <t>把现在只能查看的“规则中心”改成可配置页面：所有检测规则由后端统一提供，支持启用和停用，并将配置保存到 SQLite。新建审查时只记录已启用规则的检测结果，历史审查不能受后续配置影响；系统至少要保留一条启用规则，关闭失败时前端需提示并恢复状态。同时动态展示启用规则数，补充相关后端测试，保证现有风险豁免功能不受影响，pytest -q 和 npm run build 均能通过。</t>
        </is>
      </c>
      <c r="B4" t="inlineStr">
        <is>
          <t>6c3fd7ce-b14e-4162-9c9e-a4408de6e110</t>
        </is>
      </c>
      <c r="C4" t="inlineStr">
        <is>
          <t>0e37222c-77af-4e04-8777-d0e8fb68208d</t>
        </is>
      </c>
      <c r="D4" t="inlineStr">
        <is>
          <t>第一轮</t>
        </is>
      </c>
      <c r="E4" s="2" t="str">
        <f>=HYPERLINK("https://github.com/makabaka-boop/contract-lens/commit/3b0c88dae13b7492cc52f4318b3b53741f83288a", "https://github.com/makabaka-boop/contract-lens/commit/3b0c88dae13b7492cc52f4318b3b53741f83288a")</f>
        <v>https://github.com/makabaka-boop/contract-lens/commit/3b0c88dae13b7492cc52f4318b3b53741f83288a</v>
      </c>
      <c r="F4" t="inlineStr">
        <is>
          <t>6c3fd7ce-b14e-4162-9c9e-a4408de6e110.jsonl</t>
        </is>
      </c>
      <c r="G4" t="inlineStr">
        <is>
          <t>无外部依赖</t>
        </is>
      </c>
      <c r="H4" t="inlineStr">
        <is>
          <t>Claude Code</t>
        </is>
      </c>
      <c r="I4" t="inlineStr">
        <is>
          <t>2.1.263</t>
        </is>
      </c>
      <c r="J4" t="inlineStr">
        <is>
          <t>MacOS/Linux</t>
        </is>
      </c>
      <c r="K4" t="inlineStr">
        <is>
          <t>feature迭代</t>
        </is>
      </c>
      <c r="L4" t="inlineStr">
        <is>
          <t>困难</t>
        </is>
      </c>
      <c r="M4" t="inlineStr">
        <is>
          <t>Python, FastAPI, SQLite, pytest, TypeScript, React, Vite</t>
        </is>
      </c>
      <c r="N4">
        <v>4</v>
      </c>
      <c r="O4" t="inlineStr">
        <is>
          <t>主要功能都完成了。规则改为由后端统一返回，启停状态会保存到 SQLite；新建审查只保存启用规则产生的结果，修改配置不会影响历史记录。前端增加了规则开关、启用数量和失败回滚提示，风险豁免也有回归测试。实际复跑结果是后端 17 条测试通过，前端构建成功。但是因为前端没有捕获网络请求直接失败的情况。</t>
        </is>
      </c>
      <c r="P4">
        <v>4</v>
      </c>
      <c r="Q4" t="inlineStr">
        <is>
          <t>需求里提到的功能和测试项基本都做到了，也没有改动原有风险豁免逻辑。模型额外创建并推送了 worktree-rules-config 分支，这一步题面中没有要求。</t>
        </is>
      </c>
      <c r="R4">
        <v>5</v>
      </c>
      <c r="S4" t="inlineStr">
        <is>
          <t>开始先看了项目结构，然后按后端规则配置、测试、前端页面和最终验证几个阶段推进。过程中有更新任务状态，最后也逐项说明了实现和测试结果，整体比较清楚。</t>
        </is>
      </c>
      <c r="T4">
        <v>3</v>
      </c>
      <c r="U4" t="inlineStr">
        <is>
          <t>整体实现思路没有问题，但排查测试失败时绕了不少路。实际原因是模型把 new_json 写成了 new_value，一开始却怀疑数据库路径、sqlite3.Row 和变量遮蔽，尝试多次后才回头检查源码找到拼写错误。最后虽然修好了，但定位过程不够直接。</t>
        </is>
      </c>
      <c r="V4">
        <v>3</v>
      </c>
      <c r="W4" t="inlineStr">
        <is>
          <t>工具调用比较拖沓。围绕同一个 row_to_change 报错，连续做了临时数据库复现、逐列读取、字节码检查等十多次排查，最后发现只是字段名写错。另外还有一次 worktree 路径限制报错和一次端口占用，处理后测试及构建都通过了。</t>
        </is>
      </c>
      <c r="X4"/>
      <c r="Y4" t="inlineStr">
        <is>
          <t>张鑫宇</t>
        </is>
      </c>
      <c r="Z4" s="3">
        <v>46272.979166666664</v>
      </c>
      <c r="AA4" t="inlineStr">
        <is>
          <t>通过</t>
        </is>
      </c>
      <c r="AB4"/>
      <c r="AC4"/>
      <c r="AD4"/>
    </row>
    <row r="5" ht="25.5" customHeight="1">
      <c r="A5" t="inlineStr">
        <is>
          <t>
客服向外部服务商提供排障数据前需统一脱敏。请建设策略编排服务：运营可在网页创建并版本化邮箱、手机号、身份证及正则规则，发布后批量处理JSONL，重复请求不得生成重复任务。任务支持并发、取消和重启续跑，异常时不能丢失进度，并记录规则命中与状态审计。用Go、React和SQLite实现API与页面，提供Docker Compose一键启动，补齐规则、恢复及端到端测试。</t>
        </is>
      </c>
      <c r="B5" t="inlineStr">
        <is>
          <t>2d3a3a80-de97-4b2c-9a10-61d39c8447a2</t>
        </is>
      </c>
      <c r="C5" t="inlineStr">
        <is>
          <t>488bf9cc-fcd8-4f47-b7db-2bcb9f538e23</t>
        </is>
      </c>
      <c r="D5" t="inlineStr">
        <is>
          <t>第一轮</t>
        </is>
      </c>
      <c r="E5" s="2" t="str">
        <f>=HYPERLINK("https://github.com/fddhuwenjie/cc-redaction-orchestrator-pilot-20260907/commit/28b4aeaa5888b9fb6067f3fbbb3bc40b883ea6d4", "https://github.com/fddhuwenjie/cc-redaction-orchestrator-pilot-20260907/commit/28b4aeaa5888b9fb6067f3fbbb3bc40b883ea6d4")</f>
        <v>https://github.com/fddhuwenjie/cc-redaction-orchestrator-pilot-20260907/commit/28b4aeaa5888b9fb6067f3fbbb3bc40b883ea6d4</v>
      </c>
      <c r="F5" t="inlineStr">
        <is>
          <t>ClaudeCodeCLI_第一轮原生Session轨迹_可定位.jsonl</t>
        </is>
      </c>
      <c r="G5" t="inlineStr">
        <is>
          <t>已容器化，可一键起环境</t>
        </is>
      </c>
      <c r="H5" t="inlineStr">
        <is>
          <t>Claude Code</t>
        </is>
      </c>
      <c r="I5" t="inlineStr">
        <is>
          <t>2.1.228</t>
        </is>
      </c>
      <c r="J5" t="inlineStr">
        <is>
          <t>MacOS/Linux</t>
        </is>
      </c>
      <c r="K5" t="inlineStr">
        <is>
          <t>0-1代码生成</t>
        </is>
      </c>
      <c r="L5" t="inlineStr">
        <is>
          <t>困难</t>
        </is>
      </c>
      <c r="M5" t="inlineStr">
        <is>
          <t>Go 1.25、React 18、TypeScript 5.6、SQLite（modernc.org/sqlite）、Docker Compose、Playwright</t>
        </is>
      </c>
      <c r="N5">
        <v>3</v>
      </c>
      <c r="O5" t="inlineStr">
        <is>
          <t>项目主体已经能跑起来，后端测试、race 和前端构建也都过了。问题是换成全新空库后，策略页一打开就白屏，第一条策略根本建不了。这个入口问题不修，实际还用不起来。</t>
        </is>
      </c>
      <c r="P5">
        <v>4</v>
      </c>
      <c r="Q5" t="inlineStr">
        <is>
          <t>技术栈没有换，需求里提到的并发、取消、续跑、幂等和审计也都做了。端到端用例虽然写进去了，但没有在浏览器里跑通，验证这一块少了一步。</t>
        </is>
      </c>
      <c r="R5">
        <v>4</v>
      </c>
      <c r="S5" t="inlineStr">
        <is>
          <t>前半段安排得还可以，后端、数据层、页面和容器都有顺序。后来卡在浏览器依赖上，来回试了几次，收尾时又漏掉空库第一次打开页面的检查，整体不够稳。</t>
        </is>
      </c>
      <c r="T5">
        <v>3</v>
      </c>
      <c r="U5" t="inlineStr">
        <is>
          <t>幂等处理和任务恢复考虑得比较细，这两块的测试也能对上。空集合从 Go 返回成 null 后，前端还会直接遍历，这个常见的首启问题没有注意，边界场景考虑得不够完整。</t>
        </is>
      </c>
      <c r="V5">
        <v>3</v>
      </c>
      <c r="W5" t="inlineStr">
        <is>
          <t>后端测试、静态检查、race 和前端构建基本都实际跑过。浏览器测试没有真正成功，中间还用错过工作目录，也重复试过几条命令。最后只确认服务能够启动，没有确认页面是否可以正常操作。</t>
        </is>
      </c>
      <c r="X5"/>
      <c r="Y5" t="inlineStr">
        <is>
          <t>胡文杰</t>
        </is>
      </c>
      <c r="Z5" s="3">
        <v>46273</v>
      </c>
      <c r="AA5" t="inlineStr">
        <is>
          <t>通过</t>
        </is>
      </c>
      <c r="AB5"/>
      <c r="AC5"/>
      <c r="AD5"/>
    </row>
    <row r="6" ht="25.5" customHeight="1">
      <c r="A6" t="inlineStr">
        <is>
          <t>请用 React、TypeScript 和 Vite 从零开发一个纯前端的“剧本连续性检查台”。用户可以创建场景，记录发生时间、地点、出场角色、关键道具以及角色状态，并在时间线中拖拽调整顺序；系统需要自动发现同一角色在相近时间出现在不同地点、道具未获得却提前出现、角色状态与前一场不一致等连续性问题。页面包含时间线、场景编辑和问题列表，点击问题能定位并高亮对应场景，同时支持按角色、地点和问题类型筛选。数据保存在 localStorage，并提供 JSON 导入导出，导入格式错误时要给出明确提示且不能覆盖原数据。项目内置一组能触发多种问题的示例数据，不使用后端或模拟登录，最终保证 npm run build 可以通过。</t>
        </is>
      </c>
      <c r="B6" t="inlineStr">
        <is>
          <t>1fd04d1f-4a6f-4e1e-a098-d165ecae42fa</t>
        </is>
      </c>
      <c r="C6" t="inlineStr">
        <is>
          <t>6f0248cd-1841-49f6-9a93-5dee9b79e456</t>
        </is>
      </c>
      <c r="D6" t="inlineStr">
        <is>
          <t>第一轮</t>
        </is>
      </c>
      <c r="E6" s="2" t="str">
        <f>=HYPERLINK("https://github.com/makabaka-boop/ttt-001/commit/670c3f35ab1f058e9d887000b3858bcf39280581", "https://github.com/makabaka-boop/ttt-001/commit/670c3f35ab1f058e9d887000b3858bcf39280581")</f>
        <v>https://github.com/makabaka-boop/ttt-001/commit/670c3f35ab1f058e9d887000b3858bcf39280581</v>
      </c>
      <c r="F6" t="inlineStr">
        <is>
          <t>1fd04d1f-4a6f-4e1e-a098-d165ecae42fa.jsonl</t>
        </is>
      </c>
      <c r="G6" t="inlineStr">
        <is>
          <t>无外部依赖</t>
        </is>
      </c>
      <c r="H6" t="inlineStr">
        <is>
          <t>Claude Code</t>
        </is>
      </c>
      <c r="I6" t="inlineStr">
        <is>
          <t>2.1.263</t>
        </is>
      </c>
      <c r="J6" t="inlineStr">
        <is>
          <t>MacOS/Linux</t>
        </is>
      </c>
      <c r="K6" t="inlineStr">
        <is>
          <t>0-1代码生成</t>
        </is>
      </c>
      <c r="L6" t="inlineStr">
        <is>
          <t>困难</t>
        </is>
      </c>
      <c r="M6" t="inlineStr">
        <is>
          <t>TypeScript, React, Vite</t>
        </is>
      </c>
      <c r="N6">
        <v>4</v>
      </c>
      <c r="O6" t="inlineStr">
        <is>
          <t>项目能够正常构建和运行，场景编辑、问题检测、筛选定位、本地保存及 JSON 导入导出都已实现。示例数据可以触发9条问题，覆盖地点、道具和角色状态三种情况。小问题是取消道具“本场出现”时，没有同时清掉“本场获得”记录，可能让后续道具检查出现误判。</t>
        </is>
      </c>
      <c r="P6">
        <v>5</v>
      </c>
      <c r="Q6" t="inlineStr">
        <is>
          <t>要求的 React、TypeScript 和 Vite 技术栈已使用；项目是纯前端实现，没有后端和登录功能。场景管理、拖拽排序、三类连续性检查、三种筛选、localStorage、JSON 导入导出和示例数据均有对应实现，最终构建也通过。</t>
        </is>
      </c>
      <c r="R6">
        <v>5</v>
      </c>
      <c r="S6" t="inlineStr">
        <is>
          <t>开始后将任务拆成项目骨架、数据模型与检测规则、存储与导入导出、页面功能以及构建自测五部分，并持续更新完成状态。整体顺序清楚，最后也补做了规则和异常导入测试。</t>
        </is>
      </c>
      <c r="T6">
        <v>3</v>
      </c>
      <c r="U6" t="inlineStr">
        <is>
          <t>主要思路没有偏，但实现过程中出现了几次可提前避免的问题。第一次构建有未使用导入和空值判断错误；第一次规则自测又发现同场获得的道具被误报，之后才修正。后期在状态规则和示例时间上反复调整了几轮，完成了任务，但过程偏慢。</t>
        </is>
      </c>
      <c r="V6">
        <v>4</v>
      </c>
      <c r="W6" t="inlineStr">
        <is>
          <t>文件创建、依赖安装、构建和功能自测都能正常推进，遇到报错后也能根据提示修复。过程中有一次构建失败，第一次导入校验测试还因为模块路径问题没有跑起来，改成打包测试后才通过；除此之外没有持续重复同一种无效操作。</t>
        </is>
      </c>
      <c r="X6"/>
      <c r="Y6" t="inlineStr">
        <is>
          <t>张鑫宇</t>
        </is>
      </c>
      <c r="Z6" s="3">
        <v>46273</v>
      </c>
      <c r="AA6" t="inlineStr">
        <is>
          <t>通过</t>
        </is>
      </c>
      <c r="AB6"/>
      <c r="AC6"/>
      <c r="AD6"/>
    </row>
    <row r="7" ht="25.5" customHeight="1">
      <c r="A7" t="inlineStr">
        <is>
          <t>新部署环境使用空数据库启动后，首次打开策略管理页面会直接白屏，浏览器控制台提示无法读取空值的列表遍历方法，导致无法创建第一条脱敏策略。请定位并修复这个问题，确保没有策略数据时页面也能正常打开并显示空状态。</t>
        </is>
      </c>
      <c r="B7" t="inlineStr">
        <is>
          <t>2d3a3a80-de97-4b2c-9a10-61d39c8447a2</t>
        </is>
      </c>
      <c r="C7" t="inlineStr">
        <is>
          <t>78ccb23c-8c00-4ebc-9b85-65bb18a0163b</t>
        </is>
      </c>
      <c r="D7" t="inlineStr">
        <is>
          <t>第二轮</t>
        </is>
      </c>
      <c r="E7" s="2" t="str">
        <f>=HYPERLINK("https://github.com/fddhuwenjie/cc-redaction-orchestrator-pilot-20260907/commit/28b4aeaa5888b9fb6067f3fbbb3bc40b883ea6d4", "https://github.com/fddhuwenjie/cc-redaction-orchestrator-pilot-20260907/commit/28b4aeaa5888b9fb6067f3fbbb3bc40b883ea6d4")</f>
        <v>https://github.com/fddhuwenjie/cc-redaction-orchestrator-pilot-20260907/commit/28b4aeaa5888b9fb6067f3fbbb3bc40b883ea6d4</v>
      </c>
      <c r="F7" t="inlineStr">
        <is>
          <t>ClaudeCodeCLI_完整会话轨迹_含两轮.jsonl</t>
        </is>
      </c>
      <c r="G7" t="inlineStr">
        <is>
          <t>已容器化，可一键起环境</t>
        </is>
      </c>
      <c r="H7" t="inlineStr">
        <is>
          <t>Claude Code</t>
        </is>
      </c>
      <c r="I7" t="inlineStr">
        <is>
          <t>2.1.228</t>
        </is>
      </c>
      <c r="J7" t="inlineStr">
        <is>
          <t>MacOS/Linux</t>
        </is>
      </c>
      <c r="K7" t="inlineStr">
        <is>
          <t>Bug修复</t>
        </is>
      </c>
      <c r="L7" t="inlineStr">
        <is>
          <t>中等</t>
        </is>
      </c>
      <c r="M7" t="inlineStr">
        <is>
          <t>Go 1.25，React 18，TypeScript 5.6，SQLite，Docker Compose，Playwright</t>
        </is>
      </c>
      <c r="N7">
        <v>5</v>
      </c>
      <c r="O7" t="inlineStr">
        <is>
          <t>准确修复了空数据库导致策略页面白屏的问题，同时统一后端空集合返回并增加前端防御处理。新增后端和前端回归测试全部通过，独立Chromium验证三个空状态页面正常打开，问题修复。</t>
        </is>
      </c>
      <c r="P7">
        <v>5</v>
      </c>
      <c r="Q7" t="inlineStr">
        <is>
          <t>没有更换技术栈或改动无关业务，围绕该问题完成定位、修复与验证。除策略页面外还检查了作业和审计列表的同类风险，处理范围合理且没有偏离任务目标。</t>
        </is>
      </c>
      <c r="R7">
        <v>4</v>
      </c>
      <c r="S7" t="inlineStr">
        <is>
          <t>先检查了存储层列表返回，再检查前端接口消费方式，随后补充两侧防御和回归测试，整体顺序清楚。任务状态记录在部分修改完成后才创建，规划动作稍晚，但没有造成重复实现或方向偏移。</t>
        </is>
      </c>
      <c r="T7">
        <v>5</v>
      </c>
      <c r="U7" t="inlineStr">
        <is>
          <t>正确判断根因是Go空切片序列化为空值，前端又直接执行列表遍历，能够把后端数据契约和前端崩溃链路连起来。修复同时覆盖旧服务异常响应的兼容场景，推理完整且没有依赖猜测。</t>
        </is>
      </c>
      <c r="V7">
        <v>4</v>
      </c>
      <c r="W7" t="inlineStr">
        <is>
          <t>模型用完成读取、修改、测试和构建，后端全量测试与前端四项测试均成功。期间一次搜索使用了错误工作目录，一次空库验证因终止后台进程返回非零退出码，但有效结果明确，随后独立验收全部通过。</t>
        </is>
      </c>
      <c r="X7"/>
      <c r="Y7" t="inlineStr">
        <is>
          <t>胡文杰</t>
        </is>
      </c>
      <c r="Z7" s="3">
        <v>46273</v>
      </c>
      <c r="AA7" t="inlineStr">
        <is>
          <t>通过</t>
        </is>
      </c>
      <c r="AB7"/>
      <c r="AC7"/>
      <c r="AD7"/>
    </row>
    <row r="8" ht="25.5" customHeight="1">
      <c r="A8" t="inlineStr">
        <is>
          <t>一栋栋老写字楼正被改造成给 AI 企业使用的高密度研发空间，招商团队现在还靠表格逐间确认面积、电力和冷却余量，遇到客户一次租多间相邻空间时很容易重复承诺资源。我想从零搭起一套组合空间租赁服务，把楼宇、楼层、房间、客户、要约和正式租约完整管起来：运营人员可以维护楼宇改造阶段和每间房的可租日期，客户提出用途、租期以及电力和冷却需求后，系统要自动判断所选房间是否属于同一楼宇、在整个租期内是否可用，并结合同时期已经生效的租约计算整栋楼的容量峰值；合格申请先生成有明确截止时间的保留要约，超时自动释放空间和容量，客户确认后再一次性转成正式租约，重复提交同一申请只能得到原来的结果，内容发生变化则要明确提示冲突，两个客户同时争抢同一组空间时也只能有一个成功。日常还需要按楼宇查看未来可租空间、已保留容量和即将过期的要约，所有业务记录都要可靠保存，错误情况要给调用方稳定、看得懂的结果，并准备覆盖跨楼宇组合、重叠租期超容量、错峰复用、过期释放、重复申请和并发确认的场景数据与验证。</t>
        </is>
      </c>
      <c r="B8" t="inlineStr">
        <is>
          <t>ff45182c-8aac-47db-8ad7-fe5eb7ce5120</t>
        </is>
      </c>
      <c r="C8" t="inlineStr">
        <is>
          <t>997193b1-8313-4eb2-81ba-63a46ccf7b2c</t>
        </is>
      </c>
      <c r="D8" t="inlineStr">
        <is>
          <t>第一轮</t>
        </is>
      </c>
      <c r="E8" s="2" t="str">
        <f>=HYPERLINK("https://github.com/11DingKing/cc-usr-0907-adaptive-lease/commit/416e525a45131dd0558b7c163543100795351add", "https://github.com/11DingKing/cc-usr-0907-adaptive-lease/commit/416e525a45131dd0558b7c163543100795351add")</f>
        <v>https://github.com/11DingKing/cc-usr-0907-adaptive-lease/commit/416e525a45131dd0558b7c163543100795351add</v>
      </c>
      <c r="F8" t="inlineStr">
        <is>
          <t>轨迹_0907_第1题_ff45182c-8aac-47db-8ad7-fe5eb7ce5120.jsonl</t>
        </is>
      </c>
      <c r="G8" t="inlineStr">
        <is>
          <t>无外部依赖</t>
        </is>
      </c>
      <c r="H8" t="inlineStr">
        <is>
          <t>Claude Code</t>
        </is>
      </c>
      <c r="I8" t="inlineStr">
        <is>
          <t>2.1.259</t>
        </is>
      </c>
      <c r="J8" t="inlineStr">
        <is>
          <t>MacOS/Linux</t>
        </is>
      </c>
      <c r="K8" t="inlineStr">
        <is>
          <t>0-1代码生成</t>
        </is>
      </c>
      <c r="L8" t="inlineStr">
        <is>
          <t>困难</t>
        </is>
      </c>
      <c r="M8" t="inlineStr">
        <is>
          <t>Go, net/http</t>
        </is>
      </c>
      <c r="N8">
        <v>4</v>
      </c>
      <c r="O8" t="inlineStr">
        <is>
          <t>申请、要约、确认、持久化和并发路径均已实现，go test ./...、go test -race ./... 与 go vet ./... 都通过。遗漏出现在 internal/store/memory.go 的 Overview：它从 windowStart 直接计算 FreeSegments，没有用 Suite.RentableFrom 截断，也没有排除 Offline 房间；workflow_test.go 甚至把 2027-06-01 才可租的 s3 在 2027-01-01 起视为整段空闲，运营查询会提前展示尚不可租的房间。</t>
        </is>
      </c>
      <c r="P8">
        <v>4</v>
      </c>
      <c r="Q8" t="inlineStr">
        <is>
          <t>跨楼宇校验、容量峰值、超时释放、重复申请冲突和并发争抢等明确约束都有对应实现及测试。没有完全落实的是“按楼宇查看未来可租空间”：overview 返回的是扣除租约和持有要约后的未占用区间，房间改造完成日期与 offline 状态没有参与可租结果，因此该查询不能作为真实招商库存使用。</t>
        </is>
      </c>
      <c r="R8">
        <v>5</v>
      </c>
      <c r="S8" t="inlineStr">
        <is>
          <t>读取完整基线后，将工作拆成领域模型、事务存储、服务层、HTTP API 和场景测试五项，并按依赖顺序推进和更新状态。实现过程中先编译再补场景测试，之后增加持久化及 HTTP 验证，最后执行格式化、全量测试、竞态检测和重启恢复，阶段划分与收尾都清楚。</t>
        </is>
      </c>
      <c r="T8">
        <v>4</v>
      </c>
      <c r="U8" t="inlineStr">
        <is>
          <t>半开租期、同时间点先释放后占用的容量扫描、申请内容指纹以及确认时复查约束的设计彼此一致，并发确认也通过锁内事务保证单一租约。对运营视图的推导少了一层业务判断，把“当前没有租约或要约占用”等同于“未来可租”，因而没有把 rentable_from 和 offline 合并进空闲区间计算。</t>
        </is>
      </c>
      <c r="V8">
        <v>4</v>
      </c>
      <c r="W8" t="inlineStr">
        <is>
          <t>工具调用覆盖了基线阅读、逐层实现、编译、场景测试、竞态检测、真实 HTTP 请求和重启恢复，最终验证结果可重复。中途 FreeSegments 因首版过于绕而连续改写，服务首次启动又因快照目录不存在失败，随后均能定位并修复；这些返工增加了少量步骤，但没有造成反复执行同一失败命令。</t>
        </is>
      </c>
      <c r="X8"/>
      <c r="Y8" t="inlineStr">
        <is>
          <t>任皇定</t>
        </is>
      </c>
      <c r="Z8" s="3">
        <v>46273</v>
      </c>
      <c r="AA8" t="inlineStr">
        <is>
          <t>通过</t>
        </is>
      </c>
      <c r="AB8"/>
      <c r="AC8"/>
      <c r="AD8"/>
    </row>
    <row r="9" ht="25.5" customHeight="1">
      <c r="A9" t="inlineStr">
        <is>
          <t>旧商办楼层改成 AI 算力机房后，财务面对的已经不是一张固定月租单：每份租约同时包含机柜租金、实际用电和每天的需量峰值，计量设备还可能重复上报或在关账以后补送数据。我想从零建立一套完整的租约结算服务，让运营人员登记园区、机房、客户、租约和计费方案，让计量数据按唯一编号进入账本，再由财务按客户所在时区的自然月发起关账；固定租金要按租约当月实际生效天数分摊，用电按有效读数累计，需量费取每天最高值后汇总，租约范围外、周期外或重复的数据不能混进账单，金额计算也不能出现小数误差。第一次关账生成版本一，保留每个费用分项、采用过的读数和计算时间，之后迟到的读数先列为待调整项，旧账单金额始终不变，只有财务明确重算才生成递增的新版本并说明与上一版的差额；同一条关账或重算指令即使被重复发送，也不能多出账单版本，并发重算也要保持版本连续。业务数据和历史版本需要长期留存，调用方能够登记租约与读数、关账、重算、查看指定版本和待调整明细，冲突要返回一致的业务原因，同时准备跨月租约、部分月分摊、时区日界线、重复计量、迟到数据、指令重放和并发重算等可复现场景。</t>
        </is>
      </c>
      <c r="B9" t="inlineStr">
        <is>
          <t>6011ad86-d57f-4e1a-97b6-8451eaa0d9d2</t>
        </is>
      </c>
      <c r="C9" t="inlineStr">
        <is>
          <t>28328689-990b-43e5-80be-00ffec639826</t>
        </is>
      </c>
      <c r="D9" t="inlineStr">
        <is>
          <t>第一轮</t>
        </is>
      </c>
      <c r="E9" s="2" t="str">
        <f>=HYPERLINK("https://github.com/11DingKing/cc-usr-0907-compute-settlement/commit/ac0691bdfad0bc5a93f2f59c96b11a74c43d0b80", "https://github.com/11DingKing/cc-usr-0907-compute-settlement/commit/ac0691bdfad0bc5a93f2f59c96b11a74c43d0b80")</f>
        <v>https://github.com/11DingKing/cc-usr-0907-compute-settlement/commit/ac0691bdfad0bc5a93f2f59c96b11a74c43d0b80</v>
      </c>
      <c r="F9" t="inlineStr">
        <is>
          <t>轨迹_0907_第2题_6011ad86-d57f-4e1a-97b6-8451eaa0d9d2.jsonl</t>
        </is>
      </c>
      <c r="G9" t="inlineStr">
        <is>
          <t>无外部依赖</t>
        </is>
      </c>
      <c r="H9" t="inlineStr">
        <is>
          <t>Claude Code</t>
        </is>
      </c>
      <c r="I9" t="inlineStr">
        <is>
          <t>2.1.259</t>
        </is>
      </c>
      <c r="J9" t="inlineStr">
        <is>
          <t>MacOS/Linux</t>
        </is>
      </c>
      <c r="K9" t="inlineStr">
        <is>
          <t>0-1代码生成</t>
        </is>
      </c>
      <c r="L9" t="inlineStr">
        <is>
          <t>困难</t>
        </is>
      </c>
      <c r="M9" t="inlineStr">
        <is>
          <t>Go, net/http, event sourcing</t>
        </is>
      </c>
      <c r="N9">
        <v>3</v>
      </c>
      <c r="O9" t="inlineStr">
        <is>
          <t>服务能够编译运行，全量测试、竞态检测和静态检查均通过，关账、迟到读数、重算版本及持久化主流程也已落地。但 internal/domain/period.go 的 ActiveDaysInPeriod 用绝对时长除以 24 小时计算自然日，洛杉矶 2026 年 3 月跨夏令时后的整月只有 743 小时，会把 31 个自然日算成 30 天并少收一天固定租金；GetBill 对超出范围的版本号还会静默返回最新版，调用方无法可靠查看指定版本。</t>
        </is>
      </c>
      <c r="P9">
        <v>3</v>
      </c>
      <c r="Q9" t="inlineStr">
        <is>
          <t>园区、机房、客户、租约、读数账本、首次关账、迟到调整、递增版本和并发重算等要求均有实现。客户时区自然月没有覆盖夏令时月份，指定版本查询也未在版本不存在时返回稳定业务错误；此外 projection.Compute 对每条电量分项分别舍入，却对 EnergyCents 按总电量再舍入，多条小读数会出现分项金额之和与账单电费不一致，削弱了费用明细的可核对性。</t>
        </is>
      </c>
      <c r="R9">
        <v>5</v>
      </c>
      <c r="S9" t="inlineStr">
        <is>
          <t>在理解事件溯源基线后，建立了领域与账期、持久化账本、投影计算、服务命令、HTTP 接口、场景测试和文档接线七项计划，并持续标记开始和完成。开发顺序先固定数据结构与存储契约，再实现计算和接口，最后补持久化、端到端、竞态及重启验证，复杂任务的依赖关系处理合理。</t>
        </is>
      </c>
      <c r="T9">
        <v>3</v>
      </c>
      <c r="U9" t="inlineStr">
        <is>
          <t>账单冻结、迟到数据只进入待调整、显式重算追加版本以及写操作串行化的总体推导正确。自然日分摊在测试失败后于 15:51 至 15:56 多次改写，并通过修改期望值逐步收敛到当前算法，却始终用 time.Duration/24h 代替逐个本地日期计数，说明对时区日历的关键边界推理不足；逐条电费与汇总电费采用两种舍入口径也是同类一致性遗漏。</t>
        </is>
      </c>
      <c r="V9">
        <v>3</v>
      </c>
      <c r="W9" t="inlineStr">
        <is>
          <t>先做编译和局部测试，再补全量、竞态与静态检查，最终主测试集全部通过。执行效率受两段反复试错影响：period.go 在五分钟内连续编辑七次并临时加入调试测试，HTTP 冒烟又先遇到脚本引号错误，随后因旧二进制和 8080 端口残留多次重建、清理再运行；虽然最后恢复并验证成功，但这些调用本可通过独立临时端口和一次明确的边界表驱动测试显著缩短。</t>
        </is>
      </c>
      <c r="X9"/>
      <c r="Y9" t="inlineStr">
        <is>
          <t>任皇定</t>
        </is>
      </c>
      <c r="Z9" s="3">
        <v>46273</v>
      </c>
      <c r="AA9" t="inlineStr">
        <is>
          <t>通过</t>
        </is>
      </c>
      <c r="AB9"/>
      <c r="AC9"/>
      <c r="AD9"/>
    </row>
    <row r="10" ht="25.5" customHeight="1">
      <c r="A10" t="inlineStr">
        <is>
          <t xml:space="preserve">现在项目里的进路是整条一起解锁，我想加个分段自动解锁。通过可选配置指定区段顺序和关联道岔，没配置的保持原行为。列车占用首段时绑定本轮车次，允许同时占用相邻区段；每段必须在本轮占用过、完全出清且前段已释放，才能解锁。共享道岔要等关联区段全部释放，释放的资源可供其他进路使用，全部通过后自动结束进路。如果跳段或出现其他车次占用，要关信号、告警并冻结剩余锁；列车进入后不允许人工取消。 </t>
        </is>
      </c>
      <c r="B10" t="inlineStr">
        <is>
          <t>f5dbf027-8e48-4185-b88c-cfa95c7ed2b8</t>
        </is>
      </c>
      <c r="C10" t="inlineStr">
        <is>
          <t>37993c8a-faf0-4ba4-bcde-207b69053ee5</t>
        </is>
      </c>
      <c r="D10" t="inlineStr">
        <is>
          <t>第一轮</t>
        </is>
      </c>
      <c r="E10" s="2" t="str">
        <f>=HYPERLINK("https://github.com/wyw14/wyw-solocoder-01/commit/a89427a475f8dcf98af7855e568059786e2d6f31", "https://github.com/wyw14/wyw-solocoder-01/commit/a89427a475f8dcf98af7855e568059786e2d6f31")</f>
        <v>https://github.com/wyw14/wyw-solocoder-01/commit/a89427a475f8dcf98af7855e568059786e2d6f31</v>
      </c>
      <c r="F10" t="inlineStr">
        <is>
          <t>f5dbf027-8e48-4185-b88c-cfa95c7ed2b8.jsonl</t>
        </is>
      </c>
      <c r="G10" t="inlineStr">
        <is>
          <t>无外部依赖</t>
        </is>
      </c>
      <c r="H10" t="inlineStr">
        <is>
          <t>Claude Code</t>
        </is>
      </c>
      <c r="I10" t="inlineStr">
        <is>
          <t>2.1.263</t>
        </is>
      </c>
      <c r="J10" t="inlineStr">
        <is>
          <t>MacOS/Linux</t>
        </is>
      </c>
      <c r="K10" t="inlineStr">
        <is>
          <t>feature迭代</t>
        </is>
      </c>
      <c r="L10" t="inlineStr">
        <is>
          <t>困难</t>
        </is>
      </c>
      <c r="M10" t="inlineStr">
        <is>
          <t>Go 1.23.12, 标准库 net/http</t>
        </is>
      </c>
      <c r="N10">
        <v>3</v>
      </c>
      <c r="O10" t="inlineStr">
        <is>
          <t>已实现可选分段配置、车次绑定、顺序释放、共享道岔复用和自动结束；模型新增的 8 个进路测试及 1 个配置测试函数复跑通过。独立接入真实 Track Store 的 5 个测试中 3 个通过、2 个失败：首段出清后跳到第三段未告警冻结；占用事件尚未消费时人工取消返回 HTTP 200，并在轨道仍有车时释放全部道岔锁。本次功能未完全实现。</t>
        </is>
      </c>
      <c r="P10">
        <v>3</v>
      </c>
      <c r="Q10" t="inlineStr">
        <is>
          <t>保留了不配置分段时的整条解锁流程，也实现了相邻跨占、共享道岔等待和常规异车冻结。但如果首段出清后，列车跳过第二段直接占用第三段，进路仍保持运行状态，就不会触发告警和冻结；列车进入后不允许人工取消被实现成消费并绑定车次后才禁止，留下实际有车仍能解锁的窗口。</t>
        </is>
      </c>
      <c r="R10">
        <v>4</v>
      </c>
      <c r="S10" t="inlineStr">
        <is>
          <t>先阅读进路、轨道、道岔、事件和配置调用链，再按配置、锁归属、分段状态、事件接入、测试和 HTTP 冒烟的顺序推进，主要阶段都有说明，结尾也检查了默认配置兼容性。计划覆盖了主要业务规则，但异常验证只选了仍有占用时跳段、事件消费后取消，未把两个关键时序边界单独列入验收。</t>
        </is>
      </c>
      <c r="T10">
        <v>3</v>
      </c>
      <c r="U10" t="inlineStr">
        <is>
          <t>分段状态和共享道岔归属的总体设计正确，但排查 released=0 时先后猜测指纹去重、Session 指针拷贝失效和跨测试共享状态，之后又自行否定；直到打印 pending 中的 frozen 告警才定位到相邻区段被误判为跳段。还把真实 Track Store 的当前占用数误解成递增事件编号，并在最终解释中保留了“非轨道事件不ack导致出清无法消费”的不准确归因。前期重复推演较多，最终也遗漏了无当前占用时的顺序判断。</t>
        </is>
      </c>
      <c r="V10">
        <v>3</v>
      </c>
      <c r="W10" t="inlineStr">
        <is>
          <t>能够完成代码修改、构建、定向测试和真实 HTTP 冒烟，也修正了 fmt 格式错误并清理临时调试文件。但调试中多次创建、删除相似 dbg_test.go，改写又恢复 findSession 辅助函数；首次 HTTP 冒烟使用了错误的复数路由，随后又因 JSON 字段大小写失败才重跑。</t>
        </is>
      </c>
      <c r="X10"/>
      <c r="Y10" t="inlineStr">
        <is>
          <t>熊鑫</t>
        </is>
      </c>
      <c r="Z10" s="3">
        <v>46273</v>
      </c>
      <c r="AA10" t="inlineStr">
        <is>
          <t>通过</t>
        </is>
      </c>
      <c r="AB10"/>
      <c r="AC10"/>
      <c r="AD10"/>
    </row>
    <row r="11" ht="25.5" customHeight="1">
      <c r="A11" t="inlineStr">
        <is>
          <t>现在隧道监控的火灾联动主要按单个分区处理，想加一个跨分区应急预案功能。支持通过配置指定火源区、联动区、排烟风机和照明等级，火灾确认后自动封闭相关车道、启动排烟并调整照明。同一区域被多个火情涉及时，按禁入优先、风机保持运行、照明取最高等级合并；解除其中一个火情，不能撤掉其他火情需要的控制。
把预案执行接到现有事件总线、告警和控制台。风机处于就地模式或风压确认失败时，要显示具体失败设备，保持车道禁入，允许重试失败步骤。</t>
        </is>
      </c>
      <c r="B11" t="inlineStr">
        <is>
          <t>2f6fecbb-c3d1-4b77-94bd-de64d2cc66e2</t>
        </is>
      </c>
      <c r="C11" t="inlineStr">
        <is>
          <t>8cd0d6e6-fdf2-4515-8064-9888684bb0c9</t>
        </is>
      </c>
      <c r="D11" t="inlineStr">
        <is>
          <t>第一轮</t>
        </is>
      </c>
      <c r="E11" s="2" t="str">
        <f>=HYPERLINK("https://github.com/wyw14/wyw-solocoder-02/commit/2e58ffdc4f7ce0f75fa6ec43a80408d86be653b0", "https://github.com/wyw14/wyw-solocoder-02/commit/2e58ffdc4f7ce0f75fa6ec43a80408d86be653b0")</f>
        <v>https://github.com/wyw14/wyw-solocoder-02/commit/2e58ffdc4f7ce0f75fa6ec43a80408d86be653b0</v>
      </c>
      <c r="F11" t="inlineStr">
        <is>
          <t>wyw-solo-02-round1-2f6fecbb-c3d1-4b77-94bd-de64d2cc66e2.jsonl</t>
        </is>
      </c>
      <c r="G11" t="inlineStr">
        <is>
          <t>无外部依赖</t>
        </is>
      </c>
      <c r="H11" t="inlineStr">
        <is>
          <t>Claude Code</t>
        </is>
      </c>
      <c r="I11" t="inlineStr">
        <is>
          <t>2.1.263</t>
        </is>
      </c>
      <c r="J11" t="inlineStr">
        <is>
          <t>MacOS/Linux</t>
        </is>
      </c>
      <c r="K11" t="inlineStr">
        <is>
          <t>feature迭代</t>
        </is>
      </c>
      <c r="L11" t="inlineStr">
        <is>
          <t>困难</t>
        </is>
      </c>
      <c r="M11" t="inlineStr">
        <is>
          <t>Go 1.23.12、net/http、HTML、CSS、原生 JavaScript、WebSocket</t>
        </is>
      </c>
      <c r="N11">
        <v>3</v>
      </c>
      <c r="O11" t="inlineStr">
        <is>
          <t>已实现预案配置、跨分区执行、多火情合并、失败设备及原因展示和重试，并接入事件总线、告警及控制台，构建和已有预案测试通过。但解除重叠火情时，被剩余火情占用的车道会先收到开放指令再重新关闭；风机恢复并重试成功后，失败告警仍保持活动；控制台普通照明操作可以把应急最高等级从 5 降到 2，预案步骤仍显示成功。同区风压失败时，告警接口和派发历史还会缺少具体失败设备编号。</t>
        </is>
      </c>
      <c r="P11">
        <v>3</v>
      </c>
      <c r="Q11" t="inlineStr">
        <is>
          <t>按照要求扩展了现有项目，支持配置火源区、联动区、风机和照明等级，并实现就地模式及风压失败后的禁入保持与重试。但“解除其中一个火情，不能撤掉其他火情需要的控制”没有完整满足：解除操作会向仍被其他火情占用的车道发出开放指令，随后才重新封闭。失败设备编号虽能在预案面板显示，但同区已有风机告警时，告警查询和派发记录没有完整呈现新的设备级失败信息。</t>
        </is>
      </c>
      <c r="R11">
        <v>4</v>
      </c>
      <c r="S11" t="inlineStr">
        <is>
          <t>将任务拆为结构梳理、预案执行器、事件及接口接线、控制台和验证五个阶段，并持续更新任务状态。主要模块和交付步骤覆盖清楚，但没有提前处理设备注册与预案加载的先后依赖，运行时出现加载零条预案后才调整顺序；验证安排也未覆盖真实解除入口的中间控制指令及重试成功后的告警清除。</t>
        </is>
      </c>
      <c r="T11">
        <v>4</v>
      </c>
      <c r="U11" t="inlineStr">
        <is>
          <t>正确采用各火情需求合并的方式管理共享车道、风机和照明，也区分了就地模式与风压确认失败。但对解除链路的判断只覆盖对账后的最终状态，忽略旧火灾恢复逻辑会先开放车道；重试恢复仅更新预案状态，没有同步清除失败告警。可见推理中多次重复讨论引用计数与失败状态方案，首次写入执行器后又因状态键设计不一致整体重写。</t>
        </is>
      </c>
      <c r="V11">
        <v>3</v>
      </c>
      <c r="W11" t="inlineStr">
        <is>
          <t>读取了相关控制器和事件链路，完成代码、测试、构建及 HTTP 冒烟验证，并修复预案加载顺序和解除事件缺失。过程中出现替换文本不存在的编辑失败、告警 JSON 字段大小写错误，以及执行器整文件重写；两次使用 pkill -f tunnel-srv 均返回退出码 144，第一次发现可能匹配到自身命令后仍重复使用，进程清理范围不够精确。最终验证未检查解除时的指令序列和恢复后的告警状态。</t>
        </is>
      </c>
      <c r="X11"/>
      <c r="Y11" t="inlineStr">
        <is>
          <t>熊鑫</t>
        </is>
      </c>
      <c r="Z11" s="3">
        <v>46273</v>
      </c>
      <c r="AA11" t="inlineStr">
        <is>
          <t>通过</t>
        </is>
      </c>
      <c r="AB11"/>
      <c r="AC11"/>
      <c r="AD11"/>
    </row>
    <row r="12" ht="25.5" customHeight="1">
      <c r="A12" t="inlineStr">
        <is>
          <t xml:space="preserve">现在还有两个问题需要修一下。第一，列车占用首段并出清后，直接进入第三段，第二段一直没有占用，进路却没有告警和冻结。第二，列车刚占用首段、事件还没处理时，马上取消进路会成功，道岔锁也全部释放了。希望跳过未经过的区段时，无论前段是否出清，都能关信号、告警并冻结剩余锁；只要列车已经进入，就不能人工取消，不能等事件处理完才限制。 </t>
        </is>
      </c>
      <c r="B12" t="inlineStr">
        <is>
          <t>f5dbf027-8e48-4185-b88c-cfa95c7ed2b8</t>
        </is>
      </c>
      <c r="C12" t="inlineStr">
        <is>
          <t>92254726-9c63-479f-abc7-9e40e5fef04a</t>
        </is>
      </c>
      <c r="D12" t="inlineStr">
        <is>
          <t>第二轮</t>
        </is>
      </c>
      <c r="E12" s="2" t="str">
        <f>=HYPERLINK("https://github.com/wyw14/wyw-solocoder-01/commit/a89427a475f8dcf98af7855e568059786e2d6f31", "https://github.com/wyw14/wyw-solocoder-01/commit/a89427a475f8dcf98af7855e568059786e2d6f31")</f>
        <v>https://github.com/wyw14/wyw-solocoder-01/commit/a89427a475f8dcf98af7855e568059786e2d6f31</v>
      </c>
      <c r="F12" t="inlineStr">
        <is>
          <t>trace-000.jsonl</t>
        </is>
      </c>
      <c r="G12" t="inlineStr">
        <is>
          <t>无外部依赖</t>
        </is>
      </c>
      <c r="H12" t="inlineStr">
        <is>
          <t>Claude Code</t>
        </is>
      </c>
      <c r="I12" t="inlineStr">
        <is>
          <t>2.1.263</t>
        </is>
      </c>
      <c r="J12" t="inlineStr">
        <is>
          <t>MacOS/Linux</t>
        </is>
      </c>
      <c r="K12" t="inlineStr">
        <is>
          <t>Bug修复</t>
        </is>
      </c>
      <c r="L12" t="inlineStr">
        <is>
          <t>中等</t>
        </is>
      </c>
      <c r="M12" t="inlineStr">
        <is>
          <t>Go 1.23.12，标准库 net/http</t>
        </is>
      </c>
      <c r="N12">
        <v>5</v>
      </c>
      <c r="O12" t="inlineStr">
        <is>
          <t>已修复首段出清后跳过中间区段不冻结的问题，并补上占用事件尚未消费时禁止取消的检查。路由及配置测试全部通过，接入真实 Station、Track Store 和 Event Bus 的 5 个业务场景也全部通过。跳段后进路进入 frozen、信号变红并保留剩余道岔锁；列车占用后立即取消返回 409，进路保持 active。</t>
        </is>
      </c>
      <c r="P12">
        <v>5</v>
      </c>
      <c r="Q12" t="inlineStr">
        <is>
          <t>已逐条核对全部约束。跳过未经过区段时不再依赖前段当前是否占用；只要进路内轨道已有实际占用，人工取消就会被拒绝，进路状态和道岔锁均保持。</t>
        </is>
      </c>
      <c r="R12">
        <v>5</v>
      </c>
      <c r="S12" t="inlineStr">
        <is>
          <t>先把问题拆成跳段状态判断和取消时序窗口两部分，分别定位最远到达区段判定与轨道实际占用检查，再补充回归测试，最后依次执行构建、路由测试、全包测试、vet 和 HTTP 场景验证，步骤和阶段反馈清楚。</t>
        </is>
      </c>
      <c r="T12">
        <v>4</v>
      </c>
      <c r="U12" t="inlineStr">
        <is>
          <t>准确识别出当前占用位置不能代表本轮最远到达区段，也正确判断取消逻辑不能只依赖异步绑定的车次状态。最终说明对第一个条件的文字解释不好理解，但实际使用 EverUsed 计算最远到达位置的修复逻辑正确。</t>
        </is>
      </c>
      <c r="V12">
        <v>4</v>
      </c>
      <c r="W12" t="inlineStr">
        <is>
          <t>修改集中在 route.go、segment.go 和 segment_test.go，新增两条针对性回归测试并完成端到端验证。第一次编译因 spec 重复声明失败，读取上下文后及时修正；部分测试命令使用 tail/grep 管道，退出状态处理不够严谨，但重新执行的无缓存测试和 5 个业务场景均正常通过。</t>
        </is>
      </c>
      <c r="X12"/>
      <c r="Y12" t="inlineStr">
        <is>
          <t>熊鑫</t>
        </is>
      </c>
      <c r="Z12" s="3">
        <v>46273</v>
      </c>
      <c r="AA12" t="inlineStr">
        <is>
          <t>通过</t>
        </is>
      </c>
      <c r="AB12"/>
      <c r="AC12"/>
      <c r="AD12"/>
    </row>
    <row r="13" ht="25.5" customHeight="1">
      <c r="A13" t="inlineStr">
        <is>
          <t>现在这个配置接口只能改两个压力参数，其他参数还得重启才能生效， 但是应该除了端口，配置里的控制参数和时间参数都支持在线修改，只改传进来的字段，校验不通过就整次不改。请你加个版本号，避免两个人同时保存时互相覆盖，旧的不带版本号的调用也保留，而且你修改后要真的生效，心跳和广播节流这些已经在运行的也得跟着更新，但别重启整个服务，正在等确认的动作继续用原来的超时。再加个修改历史和回滚，历史先放内存就行，回滚算一次新修改，版本号继续往上走。页面上也加个配置入口，能改参数、看历史和回滚，遇到版本冲突提示刷新，别直接覆盖。</t>
        </is>
      </c>
      <c r="B13" t="inlineStr">
        <is>
          <t>cedfea3a-d921-446a-aad1-a0a11f9414e5</t>
        </is>
      </c>
      <c r="C13" t="inlineStr">
        <is>
          <t>18b5db24-1402-4828-bce1-56dbaae32ff6</t>
        </is>
      </c>
      <c r="D13" t="inlineStr">
        <is>
          <t>第一轮</t>
        </is>
      </c>
      <c r="E13" s="2" t="str">
        <f>=HYPERLINK("https://github.com/yyzyCSDN/solo-coder-ygw-003/commit/272c33af4fc4033646e630c04caddcbc2aabbd4d", "https://github.com/yyzyCSDN/solo-coder-ygw-003/commit/272c33af4fc4033646e630c04caddcbc2aabbd4d")</f>
        <v>https://github.com/yyzyCSDN/solo-coder-ygw-003/commit/272c33af4fc4033646e630c04caddcbc2aabbd4d</v>
      </c>
      <c r="F13" t="inlineStr">
        <is>
          <t>cedfea3a-d921-446a-aad1-a0a11f9414e5.jsonl</t>
        </is>
      </c>
      <c r="G13" t="inlineStr">
        <is>
          <t>无外部依赖</t>
        </is>
      </c>
      <c r="H13" t="inlineStr">
        <is>
          <t>Claude Code</t>
        </is>
      </c>
      <c r="I13" t="inlineStr">
        <is>
          <t>2.1.263</t>
        </is>
      </c>
      <c r="J13" t="inlineStr">
        <is>
          <t>MacOS/Linux</t>
        </is>
      </c>
      <c r="K13" t="inlineStr">
        <is>
          <t>feature迭代</t>
        </is>
      </c>
      <c r="L13" t="inlineStr">
        <is>
          <t>困难</t>
        </is>
      </c>
      <c r="M13" t="inlineStr">
        <is>
          <t>Go 1.23.12, net/http, HTML, JavaScript</t>
        </is>
      </c>
      <c r="N13">
        <v>3</v>
      </c>
      <c r="O13" t="inlineStr">
        <is>
          <t>主要功能能运行，构建、vet、普通测试和竞态测试都通过了。但把两位小数格式化后的值用于判断变化，100改成100.001会提示成功却不保存。解锁后执行回调，并发时会把运行中的节流值改回旧值，且遇到取值相同的历史回滚直接返回，不生成新版本。</t>
        </is>
      </c>
      <c r="P13">
        <v>4</v>
      </c>
      <c r="Q13" t="inlineStr">
        <is>
          <t>保留了不带版本号的调用，端口不能在线修改，历史存在内存，确认动作也保留原超时。但“回滚算一次新修改，版本号继续往上走”没有完全做到：v1为100，改成110再改回100后，回滚v1仍停在110。</t>
        </is>
      </c>
      <c r="R13">
        <v>5</v>
      </c>
      <c r="S13" t="inlineStr">
        <is>
          <t>先读配置、服务和页面代码，再把任务拆成版本化存储、运行时生效、接口、页面和验证五部分。轨迹有5次任务创建、10次状态更新，各阶段都有说明，最后给出改动与验证总结。</t>
        </is>
      </c>
      <c r="T13">
        <v>4</v>
      </c>
      <c r="U13" t="inlineStr">
        <is>
          <t>正确找到了初始化后固定的问题，也理解在途动作应沿用原超时。但把展示用的两位小数当成真实值的比较，遗漏了解锁后回调乱序，以及等值历史回滚仍应产生新版本的问题。</t>
        </is>
      </c>
      <c r="V13">
        <v>4</v>
      </c>
      <c r="W13" t="inlineStr">
        <is>
          <t>共63次工具调用，完成了实现、构建和接口验证。收尾时用宽泛pkill -f清理进程，命令退出144后才改为按18083端口定位PID。能够从失败恢复，但共享服务器上的进程清理范围和验证判断不准。</t>
        </is>
      </c>
      <c r="X13"/>
      <c r="Y13" t="inlineStr">
        <is>
          <t>孙蕤</t>
        </is>
      </c>
      <c r="Z13" s="3">
        <v>46273</v>
      </c>
      <c r="AA13" t="inlineStr">
        <is>
          <t>通过</t>
        </is>
      </c>
      <c r="AB13"/>
      <c r="AC13"/>
      <c r="AD13"/>
    </row>
    <row r="14" ht="25.5" customHeight="1">
      <c r="A14" t="inlineStr">
        <is>
          <t>正常保存和重启都能用了，但保存失败后还有问题：有的记录明明报错没存上，重启后却又出现了；有的只写了一半，后面还提示保存成功，下次启动却读不了文件。把这块修一下，别把失败的记录算进去，也别弄坏之前的数据。另外，文件末尾没换行时再写会把内容拼坏，存储关了以后再写也不该提示成功。补几个测试把这些情况测到，其他功能别动。</t>
        </is>
      </c>
      <c r="B14" t="inlineStr">
        <is>
          <t>ccfa73b2-a2c2-4a46-ba2f-fa6fd0c24bf6</t>
        </is>
      </c>
      <c r="C14" t="inlineStr">
        <is>
          <t>357c722e-49c2-4e8b-9c5e-01250587f336</t>
        </is>
      </c>
      <c r="D14" t="inlineStr">
        <is>
          <t>第二轮</t>
        </is>
      </c>
      <c r="E14" s="2" t="str">
        <f>=HYPERLINK("https://github.com/yyzyCSDN/solo-coder-ygw-001/commit/e6d23c954796671a6a3b6c59beb9b31c195959c7", "https://github.com/yyzyCSDN/solo-coder-ygw-001/commit/e6d23c954796671a6a3b6c59beb9b31c195959c7")</f>
        <v>https://github.com/yyzyCSDN/solo-coder-ygw-001/commit/e6d23c954796671a6a3b6c59beb9b31c195959c7</v>
      </c>
      <c r="F14" t="inlineStr">
        <is>
          <t>ccfa73b2-a2c2-4a46-ba2f-fa6fd0c24bf6.jsonl</t>
        </is>
      </c>
      <c r="G14" t="inlineStr">
        <is>
          <t>无外部依赖</t>
        </is>
      </c>
      <c r="H14" t="inlineStr">
        <is>
          <t>Claude Code</t>
        </is>
      </c>
      <c r="I14" t="inlineStr">
        <is>
          <t>2.1.263</t>
        </is>
      </c>
      <c r="J14" t="inlineStr">
        <is>
          <t>MacOS/Linux</t>
        </is>
      </c>
      <c r="K14" t="inlineStr">
        <is>
          <t>Bug修复</t>
        </is>
      </c>
      <c r="L14" t="inlineStr">
        <is>
          <t>中等</t>
        </is>
      </c>
      <c r="M14" t="inlineStr">
        <is>
          <t>Go 1.23.12, net/http</t>
        </is>
      </c>
      <c r="N14">
        <v>5</v>
      </c>
      <c r="O14" t="inlineStr">
        <is>
          <t>上轮四个用例这次都通过了，正常重启、追加、查询和统计也没受影响。</t>
        </is>
      </c>
      <c r="P14">
        <v>5</v>
      </c>
      <c r="Q14" t="inlineStr">
        <is>
          <t>这轮只改了两个文件，补了5个测试，没有动页面或其他业务文件。</t>
        </is>
      </c>
      <c r="R14">
        <v>5</v>
      </c>
      <c r="S14" t="inlineStr">
        <is>
          <t>先把四个问题逐项说明，再修改存储、补故障测试、跑全量检查和重启验证，最后更新了完成状态。</t>
        </is>
      </c>
      <c r="T14">
        <v>4</v>
      </c>
      <c r="U14" t="inlineStr">
        <is>
          <t>这次找对了普通短写和同步失败的处理办法，用已提交长度回滚，也补了关闭检查和末尾换行。但把故障状态只留在内存里，重新打开时又把整个文件长度当成已提交长度。</t>
        </is>
      </c>
      <c r="V14">
        <v>4</v>
      </c>
      <c r="W14" t="inlineStr">
        <is>
          <t>这轮新增5个测试，直接用真实临时文件包装器触发短写、同步失败和截断失败，比上轮只耗尽句柄更贴近问题。构建、vet、普通测试和正常重启追加都完成了。</t>
        </is>
      </c>
      <c r="X14"/>
      <c r="Y14" t="inlineStr">
        <is>
          <t>孙蕤</t>
        </is>
      </c>
      <c r="Z14" s="3">
        <v>46273</v>
      </c>
      <c r="AA14" t="inlineStr">
        <is>
          <t>通过</t>
        </is>
      </c>
      <c r="AB14"/>
      <c r="AC14"/>
      <c r="AD14"/>
    </row>
    <row r="15" ht="25.5" customHeight="1">
      <c r="A15" t="inlineStr">
        <is>
          <t>现在，Actual 的共享预算权限在管理员撤销某个成员的访问权后，已有登录会话仍可能继续发起同步并读取或写入加密文件，桌面端权限列表也可能短暂显示旧状态。请调整同步服务、管理员接口、客户端请求状态和 UserAccess 页面，使权限撤销在同一套持久化状态上完成：撤销操作需要在 SQLite 事务中更新成员权限并使相关会话立即失效；后续文件、密钥和同步请求必须在服务端统一拒绝，客户端要清理失效会话并刷新权限状态，避免旧数据继续展示或被覆盖。保持现有共享预算和正常授权流程兼容，并补充覆盖并发撤销、已建立会话和失败请求恢复的测试。</t>
        </is>
      </c>
      <c r="B15" t="inlineStr">
        <is>
          <t>bd32ed38-42fb-4e24-9196-4ff39af67639</t>
        </is>
      </c>
      <c r="C15" t="inlineStr">
        <is>
          <t>23955c6a-3b0e-4af0-8c2f-83bd97763110</t>
        </is>
      </c>
      <c r="D15" t="inlineStr">
        <is>
          <t>第一轮</t>
        </is>
      </c>
      <c r="E15" s="2" t="str">
        <f>=HYPERLINK("https://github.com/Xiang1218-Yu/actual/commit/a0672b0f4107cca743146abc442f2db8aeba2a3c", "https://github.com/Xiang1218-Yu/actual/commit/a0672b0f4107cca743146abc442f2db8aeba2a3c")</f>
        <v>https://github.com/Xiang1218-Yu/actual/commit/a0672b0f4107cca743146abc442f2db8aeba2a3c</v>
      </c>
      <c r="F15" t="inlineStr">
        <is>
          <t>bd32ed38-42fb-4e24-9196-4ff39af67639.jsonl</t>
        </is>
      </c>
      <c r="G15" t="inlineStr">
        <is>
          <t>已容器化，可一键起环境</t>
        </is>
      </c>
      <c r="H15" t="inlineStr">
        <is>
          <t>Claude Code</t>
        </is>
      </c>
      <c r="I15" t="inlineStr">
        <is>
          <t>2.1.241</t>
        </is>
      </c>
      <c r="J15" t="inlineStr">
        <is>
          <t>MacOS/Linux</t>
        </is>
      </c>
      <c r="K15" t="inlineStr">
        <is>
          <t>feature迭代</t>
        </is>
      </c>
      <c r="L15" t="inlineStr">
        <is>
          <t>困难</t>
        </is>
      </c>
      <c r="M15" t="inlineStr">
        <is>
          <t>TypeScript、JavaScript、Node.js、React、Express、SQLite、Yarn monorepo</t>
        </is>
      </c>
      <c r="N15">
        <v>4</v>
      </c>
      <c r="O15" t="inlineStr">
        <is>
          <t>核心权限撤销、会话失效、服务端拒绝和 UserAccess 刷新均已实现，但 Prompt 明确要求覆盖“并发撤销”的测试场景，但代码实现和测试用例中只覆盖了单用户撤销和重授权流程，未看到显式的并发撤销（如两个请求同时撤销同一文件）测试用例。除此之外，所有核心功能（事务内原子删除 user_access 并失效 sessions、9 处权限拒绝点统一返回 JSON 403、客户端受控 checkbox 与失败不回滚、token 清理逻辑）均已完整落地并通过测试。</t>
        </is>
      </c>
      <c r="P15">
        <v>4</v>
      </c>
      <c r="Q15" t="inlineStr">
        <is>
          <t>模型遵循了显式约束，包括调整了同步服务、管理员接口、客户端请求状态、UserAccess 页面四部分，并且撤销在 SQLite 事务中完成；服务端也统一拒绝，客户端实现了清理并刷新，但是并发撤销测试缺失，属于遗漏 1 个明确子项；其余约束均满足，无擅改技术栈或越界修改。
</t>
        </is>
      </c>
      <c r="R15">
        <v>5</v>
      </c>
      <c r="S15" t="inlineStr">
        <is>
          <t>模型先跨四层（sync-server鉴权/会话、loot-core admin/sync/post、desktop-client UserAccess组件与sync-events）进行完整代码探索，再进入Plan mode并调用Plan agent交叉验证设计，写出结构化方案文件获用户批准后才开始编码；实现阶段严格按“服务端、客户端、UI”顺序推进，测试、lint、typecheck、发布说明、最终diff复核均有明确小结和状态追踪，全程无目标漂移。</t>
        </is>
      </c>
      <c r="T15">
        <v>4</v>
      </c>
      <c r="U15" t="inlineStr">
        <is>
          <t>模型精准定位根因：deleteUserAccessByFileId只删user_access不删sessions，而getSession仅校验users.enabled，导致被撤用户会话继续有效；同时识别出数据端点虽拒绝请求但返回纯文本403，客户端无法识别为鉴权失败。设计决策合理，包括403机读化、将file-access-not-allowed映射到token-expired、以及受控checkbox避免乐观翻转。遇到环境问题能逐一排查修复，但因批量替换/edit多次引入结构性错误，未做到一次修复到位，落地过程有少量疏漏。</t>
        </is>
      </c>
      <c r="V15">
        <v>3</v>
      </c>
      <c r="W15" t="inlineStr">
        <is>
          <t>模型存在较明显的冗余调用：使用grep时因zsh glob问题反复出现no matches found错误至少3次，未能及时改用grep -r --include或ripgrep；用perl批量替换断言引入重复行需二次清理，两次Edit操作分别破坏了post.test.ts的describe开头和app-sync.test.ts的addMockFile声明，各需一轮修复；测试命令的filter形式也经历多次试错。虽最终全部完成并通过验证，但过程中因工具使用不当造成的反复修复消耗了额外轮次。</t>
        </is>
      </c>
      <c r="X15"/>
      <c r="Y15" t="inlineStr">
        <is>
          <t>向雨佳</t>
        </is>
      </c>
      <c r="Z15" s="3">
        <v>46273</v>
      </c>
      <c r="AA15" t="inlineStr">
        <is>
          <t>通过</t>
        </is>
      </c>
      <c r="AB15"/>
      <c r="AC15"/>
      <c r="AD15"/>
    </row>
    <row r="16" ht="25.5" customHeight="1">
      <c r="A16" t="inlineStr">
        <is>
          <t>当前多个进程或不同刷新入口同时运行时，同一个 Feed 可能被重复刷新，并且如果刷新过程较慢、失败或进程退出，也缺少可靠的任务恢复机制。请你为 Feed 刷新增加基于 PostgreSQL 的任务协调机制，实现使用数据库原子领取任务，并保证同一个 Feed 同时只有一个有效刷新任务，另外通过租约续期和过期接管处理长时间任务、失败和进程退出，旧租约失效后不能覆盖新任务的结果。后台调度、Worker、CLI、API、分类刷新和 UI 刷新都必须使用这套机制，同时保留现有的缓存请求、304、限流、失败重试、禁用 Feed、解析错误上限、batchSize 和 limitPerHost 行为，并补充必要的数据库迁移、配置和清理逻辑。</t>
        </is>
      </c>
      <c r="B16" t="inlineStr">
        <is>
          <t>59d7e33e-a979-4c32-97eb-3d4d155f0527</t>
        </is>
      </c>
      <c r="C16" t="inlineStr">
        <is>
          <t>8ccd9415-f6c1-4c19-b5a6-f20a92d6dc7d</t>
        </is>
      </c>
      <c r="D16" t="inlineStr">
        <is>
          <t>第一轮</t>
        </is>
      </c>
      <c r="E16" s="2" t="str">
        <f>=HYPERLINK("https://github.com/Xiang1218-Yu/miniflux/commit/a84533db6ca0a2ff9a47800fbf0326be6d9b3170", "https://github.com/Xiang1218-Yu/miniflux/commit/a84533db6ca0a2ff9a47800fbf0326be6d9b3170")</f>
        <v>https://github.com/Xiang1218-Yu/miniflux/commit/a84533db6ca0a2ff9a47800fbf0326be6d9b3170</v>
      </c>
      <c r="F16" t="inlineStr">
        <is>
          <t>59d7e33e-a979-4c32-97eb-3d4d155f0527.jsonl</t>
        </is>
      </c>
      <c r="G16" t="inlineStr">
        <is>
          <t>已容器化，可一键起环境</t>
        </is>
      </c>
      <c r="H16" t="inlineStr">
        <is>
          <t>Claude Code</t>
        </is>
      </c>
      <c r="I16" t="inlineStr">
        <is>
          <t>2.1.241</t>
        </is>
      </c>
      <c r="J16" t="inlineStr">
        <is>
          <t>MacOS/Linux</t>
        </is>
      </c>
      <c r="K16" t="inlineStr">
        <is>
          <t>feature迭代</t>
        </is>
      </c>
      <c r="L16" t="inlineStr">
        <is>
          <t>困难</t>
        </is>
      </c>
      <c r="M16" t="inlineStr">
        <is>
          <t>Go, PostgreSQL</t>
        </is>
      </c>
      <c r="N16">
        <v>2</v>
      </c>
      <c r="O16" t="inlineStr">
        <is>
          <t>当前复核中 go test -race、go build ./...、go vet ./... 均通过，但 internal/storage/feed.go:340-431 等写入 SQL 没有 token 条件，核心隔离要求仍存在竞态。</t>
        </is>
      </c>
      <c r="P16">
        <v>3</v>
      </c>
      <c r="Q16" t="inlineStr">
        <is>
          <t>目前产物已覆盖迁移、配置、清理、租约领取和续期等要求，但提示词明确要求旧租约不能覆盖新结果，实际只在内存层检查 stillOwner，未形成数据库级约束。</t>
        </is>
      </c>
      <c r="R16">
        <v>3</v>
      </c>
      <c r="S16" t="inlineStr">
        <is>
          <t>模型在规划阶段拆分了入口、存储、迁移、配置和测试，但没有把“所有副作用写入必须携带 token”列为验收项，也没有安排刷新流程级接管测试。</t>
        </is>
      </c>
      <c r="T16">
        <v>3</v>
      </c>
      <c r="U16" t="inlineStr">
        <is>
          <t>模型在遇到 PostgreSQL operator does not exist: timestamp with time zone &lt; interval 后改用 make_interval 并通过测试，但将本地标志等同于数据库 fencing，同时未识别检查与写入之间的并发窗口。</t>
        </is>
      </c>
      <c r="V16">
        <v>3</v>
      </c>
      <c r="W16" t="inlineStr">
        <is>
          <t>模型执行过程中多次重复读取 handler.go，并经历一次租约 SQL 类型错误，虽然最后还是完成了纠正和基础验证，但未执行覆盖旧任务写入隔离的端到端测试。</t>
        </is>
      </c>
      <c r="X16"/>
      <c r="Y16" t="inlineStr">
        <is>
          <t>向雨佳</t>
        </is>
      </c>
      <c r="Z16" s="3">
        <v>46273</v>
      </c>
      <c r="AA16" t="inlineStr">
        <is>
          <t>通过</t>
        </is>
      </c>
      <c r="AB16"/>
      <c r="AC16"/>
      <c r="AD16"/>
    </row>
    <row r="17" ht="25.5" customHeight="1">
      <c r="A17" t="inlineStr">
        <is>
          <t>在这个 WordVault 划词插件里把生词本重做一个完整的生词管理系统，替换现在的弹出页，并实现以下功能：
1. 弹出页改成带侧边导航的面板，分总览、单词列表、复习、导入导出、设置几页，用状态切换，不重开弹窗。
2. 总览给统计：累计收集词数、今天新增、今天复习次数、总查询次数，以及按词性分布的占比条。
3. 单词列表支持搜索、按词性筛选、按字母或查询次数或最近更新时间排序，分页每页 20 条。每条可展开看完整信息，能改翻译、删自定义笔记、删词。
4. 复习用间隔重复算法，别一次全出。队列做成卡片，先显示英文，回想后点开看释义和例句，再选认识、模糊、不认识，不同选择影响下次出现时间。排期用有依据的公式（类似 SM-2 简化版），不要固定间隔。
5. 单词支持打标签、分组（如阅读来源、主题），列表和复习都能按标签过滤。
6. 导出支持 JSON 和 CSV，导入能合并去重，重复单词不覆盖原有笔记。
7. 单词可朗读，用 Web Speech API，英式、美式可切换。
8. 翻译目标不写死 zh-CN，做成可配置，默认中文，设置里能换日语、韩语等。
9. 整段划词现在只能翻译、查不了里面的词。改成自动按句拆开、逐句翻译，并把句子里像生词的词列出来，点一下收进生词本。
10. 数据继续用现有 Dexie，升级后原记录不能丢；别破坏 Alt+Q 划词翻译逻辑。
背景：插件是 MV3 架构，background 是 service worker，走 chrome.runtime.sendMessage 通信；弹窗和划词卡片共用同一个 Dexie 库，保持这个关系。</t>
        </is>
      </c>
      <c r="B17" t="inlineStr">
        <is>
          <t>91598858-1626-4537-a317-e397e3aaf56d</t>
        </is>
      </c>
      <c r="C17" t="inlineStr">
        <is>
          <t>cf4de94b-6fdd-4cb4-bcab-1d52076677ee</t>
        </is>
      </c>
      <c r="D17" t="inlineStr">
        <is>
          <t>第一轮</t>
        </is>
      </c>
      <c r="E17" s="2" t="str">
        <f>=HYPERLINK("https://github.com/qianmo317/claudccode-solocc-0001/commit/c9b2bf218d12f72d8b6cf9a8715f7b07a96ff3be", "https://github.com/qianmo317/claudccode-solocc-0001/commit/c9b2bf218d12f72d8b6cf9a8715f7b07a96ff3be")</f>
        <v>https://github.com/qianmo317/claudccode-solocc-0001/commit/c9b2bf218d12f72d8b6cf9a8715f7b07a96ff3be</v>
      </c>
      <c r="F17" t="inlineStr">
        <is>
          <t>solocc-0001-trajectory.jsonl</t>
        </is>
      </c>
      <c r="G17" t="inlineStr">
        <is>
          <t>无外部依赖</t>
        </is>
      </c>
      <c r="H17" t="inlineStr">
        <is>
          <t>Claude Code</t>
        </is>
      </c>
      <c r="I17" t="inlineStr">
        <is>
          <t>2.1.263</t>
        </is>
      </c>
      <c r="J17" t="inlineStr">
        <is>
          <t>MacOS/Linux</t>
        </is>
      </c>
      <c r="K17" t="inlineStr">
        <is>
          <t>feature迭代</t>
        </is>
      </c>
      <c r="L17" t="inlineStr">
        <is>
          <t>困难</t>
        </is>
      </c>
      <c r="M17" t="inlineStr">
        <is>
          <t>JavaScript, Chrome MV3, Dexie</t>
        </is>
      </c>
      <c r="N17">
        <v>4</v>
      </c>
      <c r="O17" t="inlineStr">
        <is>
          <t>主体功能已实现：db.js 把 Dexie 升到 v2（words 加 pos、多值标签、due 索引，另建 daily 统计表，老词靠 upgrade 钩子补 rep/ef/interval/due/tags 不丢）；content.js 实现整句拆分、逐句翻译、点击收词、整句与单词朗读；popup.js 做多页导航、统计卡、搜索筛选排序分页、标签过滤、SM-2 复习队列、JSON/CSV 导出；新增 tts.js、popup.css。共 9 文件、2122 行新增，无 TODO。但每日查询次数、按天复习曲线这类统计链路尚未验证到位。</t>
        </is>
      </c>
      <c r="P17">
        <v>5</v>
      </c>
      <c r="Q17" t="inlineStr">
        <is>
          <t>约束都守住了：Alt+Q 划词翻译和收词链路没动；弹窗和划词卡片仍共用同一个 Dexie 库；翻译目标做成可配置 targetLang，默认中文，没写死；MV3、service worker、sendMessage 这套结构沿用，没加新依赖，也没越界改别的文件。</t>
        </is>
      </c>
      <c r="R17">
        <v>3</v>
      </c>
      <c r="S17" t="inlineStr">
        <is>
          <t>先通读结构，再定下升级 Dexie、共享 TTS、改 background、content、popup、manifest 并校验的大方向，按模块推进，每完成一块会报一句进度和下一步；但没有形成正式、持续维护的计划或状态表，推进偏口头随性，Dexie 迁移验证又受环境限制没跑成、只能靠自查，属方向清晰但子任务与状态跟踪不够系统。</t>
        </is>
      </c>
      <c r="T17">
        <v>5</v>
      </c>
      <c r="U17" t="inlineStr">
        <is>
          <t>几处关键判断都对：Dexie 用版本链加 upgrade 钩子给老记录补 SM-2 字段和标签，升级不丢数据；排期用 rep/ef/interval/due 这套标准字段，不是固定间隔；句子分词的正则覆盖了连字符和撇号的词；targetLang 和 voiceAccent 能配，贯穿整段和单词朗读。方向对，边界也想到了。</t>
        </is>
      </c>
      <c r="V17">
        <v>4</v>
      </c>
      <c r="W17" t="inlineStr">
        <is>
          <t>这轮范围不小，按多个文件逐步落地，还新增了 tts.js、popup.css；动手前先读现有结构，没看到同文件反复读或反复重试。扣 1 分是功能多、工具调用自然偏多，还能再精简。</t>
        </is>
      </c>
      <c r="X17"/>
      <c r="Y17" t="inlineStr">
        <is>
          <t>帅园椿</t>
        </is>
      </c>
      <c r="Z17" s="3">
        <v>46273</v>
      </c>
      <c r="AA17" t="inlineStr">
        <is>
          <t>通过</t>
        </is>
      </c>
      <c r="AB17"/>
      <c r="AC17"/>
      <c r="AD17"/>
    </row>
    <row r="18" ht="25.5" customHeight="1">
      <c r="A18" t="inlineStr">
        <is>
          <t>轨迹分析页点击“执行事件检测”会直接保存参数并替换事件，分析人员无法先判断结果。请改成先预览、后应用：预览返回处理曲线、噪声底、有效事件和越界数量，但不能改动轨迹、事件或审计日志。确认应用时必须使用刚预览的轨迹和参数，并沿用现有事务和权限规则。切换轨迹、线路筛选或修改参数后，旧预览立即失效。预览或应用失败时保留已保存结果并提示原因，同时防止重复提交。补充测试，证明预览不写库、应用会保存参数、事件和审计记录，后端测试和前端构建也要通过。不要改无关页面，不要提交或推送代码。</t>
        </is>
      </c>
      <c r="B18" t="inlineStr">
        <is>
          <t>de0a9a95-0ff1-493f-a967-12634d8241a2</t>
        </is>
      </c>
      <c r="C18" t="inlineStr">
        <is>
          <t>8d449569-52bb-4bce-95aa-7203c465355a</t>
        </is>
      </c>
      <c r="D18" t="inlineStr">
        <is>
          <t>第一轮</t>
        </is>
      </c>
      <c r="E18" s="2" t="str">
        <f>=HYPERLINK("https://github.com/tiezhu996/fiber-otdr-analysis-console/commit/ec6cfb83458b4530fbe5f20097097880199eba66", "https://github.com/tiezhu996/fiber-otdr-analysis-console/commit/ec6cfb83458b4530fbe5f20097097880199eba66")</f>
        <v>https://github.com/tiezhu996/fiber-otdr-analysis-console/commit/ec6cfb83458b4530fbe5f20097097880199eba66</v>
      </c>
      <c r="F18" t="inlineStr">
        <is>
          <t>de0a9a95-0ff1-493f-a967-12634d8241a2.jsonl</t>
        </is>
      </c>
      <c r="G18" t="inlineStr">
        <is>
          <t>已容器化，可一键起环境</t>
        </is>
      </c>
      <c r="H18" t="inlineStr">
        <is>
          <t>Claude Code</t>
        </is>
      </c>
      <c r="I18" t="inlineStr">
        <is>
          <t>2.1.251</t>
        </is>
      </c>
      <c r="J18" t="inlineStr">
        <is>
          <t>MacOS/Linux</t>
        </is>
      </c>
      <c r="K18" t="inlineStr">
        <is>
          <t>feature迭代</t>
        </is>
      </c>
      <c r="L18" t="inlineStr">
        <is>
          <t>困难</t>
        </is>
      </c>
      <c r="M18" t="inlineStr">
        <is>
          <t>Go, Gin, GORM, Vue 3, PostgreSQL, SQLite</t>
        </is>
      </c>
      <c r="N18">
        <v>4</v>
      </c>
      <c r="O18" t="inlineStr">
        <is>
          <t>主体功能都已实现且各项测试通过，但轨迹选中逻辑要等详情请求返回后才清空旧预览，网络慢时切换到第二条轨迹，页面仍显示第一条的预览，应用按钮还能点，另外文档里还保留着已失效的旧检测接口说明。</t>
        </is>
      </c>
      <c r="P18">
        <v>4</v>
      </c>
      <c r="Q18" t="inlineStr">
        <is>
          <t>遵守了不提交推送代码、不动无关页面、沿用事务和权限规则等约束，测试和构建也都过了，但切换轨迹后旧预览立即失效这条没做到，最终回复说选中轨迹时会立即清空预览，代码和运行态核验都证明清空实际发生在详情请求返回之后。</t>
        </is>
      </c>
      <c r="R18">
        <v>4</v>
      </c>
      <c r="S18" t="inlineStr">
        <is>
          <t>实现按数据结构、路由权限、后端测试、前端页面、最终验证分阶段推进，过程说明和总结都有，但开头没有完整任务拆解，也没把切换轨迹、切换线路、修改参数三种失效条件逐项列为验收项，结果漏掉了轨迹切换的异步边界。</t>
        </is>
      </c>
      <c r="T18">
        <v>4</v>
      </c>
      <c r="U18" t="inlineStr">
        <is>
          <t>正确识别了预览无异常状态、一次性令牌绑定、应用事务、权限复用和失败回滚等核心设计点，也能定位并修正测试污染和类型问题，但忽略了 await 前后的异步状态边界，把请求完成后才清空误判成点击后立即失效，最终总结还延续了这个错误判断。</t>
        </is>
      </c>
      <c r="V18">
        <v>3</v>
      </c>
      <c r="W18" t="inlineStr">
        <is>
          <t>能从测试污染、类型错误和格式问题中恢复并完成验证，但工具调用冗余，91 次调用里 54 次读取只覆盖 29 个文件，25 次是重复读取，格式检查已列出两个待格式化文件时仍报告干净，过程信息不准确。</t>
        </is>
      </c>
      <c r="X18"/>
      <c r="Y18" t="inlineStr">
        <is>
          <t>刘东</t>
        </is>
      </c>
      <c r="Z18" s="3">
        <v>46273</v>
      </c>
      <c r="AA18" t="inlineStr">
        <is>
          <t>通过</t>
        </is>
      </c>
      <c r="AB18"/>
      <c r="AC18"/>
      <c r="AD18"/>
    </row>
    <row r="19" ht="25.5" customHeight="1">
      <c r="A19" t="inlineStr">
        <is>
          <t>在这个英语听力 App 上做一轮精听和跟读相关的功能迭代，尽量不破坏现有结构：
跟读模式：播到某一行停住，留几秒跟读再自动继续下一行；设置里可调每行停留时长、跟读遍数。跟读能录音，回放对比，录音只留本地。
精听 AB 循环：选定一句设 A、B，在 A 到 B 之间循环，循环次数可调，歌词高亮跟随这一段。
变速播放：0.5 到 2 倍，0.25 步进；变速后歌词同步不能错位，核实浏览器变速后 currentTime 与歌词对得上。
听写模式：隐藏歌词，逐句播放，我在输入框写原句，和原词比对给正确率，错处标出；结果可存，下次续练。
生词和句子收藏：可对任意一句标记，句子里的词收进生词列表，支持导出；最好能从 LRC 统计词频，提示高频词。
播放历史与学习统计：记住每课上次听到哪、累计听时长，给最近 7 天听时长柱状图或日历视图。
播放队列：多课加进队列，顺序或随机播完自动切下一课。
现有本地上传、收藏、分类、深色模式别动；新功能要兼容手机迷你播放器形态，不只做桌面版。
学习记录存 localStorage 或 IndexedDB，不引后端，保持纯前端、能用 Docker 起。技术栈 React + Tailwind + Vite + PWA。</t>
        </is>
      </c>
      <c r="B19" t="inlineStr">
        <is>
          <t>6b272268-0b55-4229-8151-4ce7676e91bd</t>
        </is>
      </c>
      <c r="C19" t="inlineStr">
        <is>
          <t>7cfbb0ab-bfcf-4e12-b99b-f9bea7274b91</t>
        </is>
      </c>
      <c r="D19" t="inlineStr">
        <is>
          <t>第一轮</t>
        </is>
      </c>
      <c r="E19" s="2" t="str">
        <f>=HYPERLINK("https://github.com/qianmo317/claudccode-solocc-0002/commit/9fd2abfb1f8c9ad460e4d67749c0c0bd46d3da44", "https://github.com/qianmo317/claudccode-solocc-0002/commit/9fd2abfb1f8c9ad460e4d67749c0c0bd46d3da44")</f>
        <v>https://github.com/qianmo317/claudccode-solocc-0002/commit/9fd2abfb1f8c9ad460e4d67749c0c0bd46d3da44</v>
      </c>
      <c r="F19" t="inlineStr">
        <is>
          <t>solocc-0002-trajectory.jsonl</t>
        </is>
      </c>
      <c r="G19" t="inlineStr">
        <is>
          <t>已容器化，可一键起环境</t>
        </is>
      </c>
      <c r="H19" t="inlineStr">
        <is>
          <t>Claude Code</t>
        </is>
      </c>
      <c r="I19" t="inlineStr">
        <is>
          <t>2.1.263</t>
        </is>
      </c>
      <c r="J19" t="inlineStr">
        <is>
          <t>MacOS/Linux</t>
        </is>
      </c>
      <c r="K19" t="inlineStr">
        <is>
          <t>feature迭代</t>
        </is>
      </c>
      <c r="L19" t="inlineStr">
        <is>
          <t>困难</t>
        </is>
      </c>
      <c r="M19" t="inlineStr">
        <is>
          <t>TypeScript, React 18, Vite, Tailwind CSS, idb-keyval</t>
        </is>
      </c>
      <c r="N19">
        <v>5</v>
      </c>
      <c r="O19" t="inlineStr">
        <is>
          <t>9 项需求都做了，tsc、生产构建、dev server 端口冒烟也都过了：跟读用 ShadowPanel 加 useAudio 状态机，AB 循环放在 ModeBar 和歌词行按钮上，变速用 playbackRate 只改速率、歌词不错位，听写用 DictationView 做词级 LCS 比对和正确率，生词句子收藏做了停用词过滤、去重、导出，还有 LRC 词频建议，统计用 StatsChart 出近 7 天柱状图和统计卡，队列用 QueuePanel 顺序或随机切换，移动端迷你条和全屏抽屉都接上了。上传、收藏、分类、深色模式一行没动。没有缺项。</t>
        </is>
      </c>
      <c r="P19">
        <v>5</v>
      </c>
      <c r="Q19" t="inlineStr">
        <is>
          <t>约束都满足：上传、收藏、分类、深色模式没动；录音只进本地 IndexedDB；学习记录全放 localStorage/IndexedDB，不引后端；Docker 启动方式和卷热更保留；新功能在手机迷你播放器形态下也能用；变速用 playbackRate，歌词不错位；麦克风权限不够时面板给提示而不是报错。没越界，也没引后端依赖。</t>
        </is>
      </c>
      <c r="R19">
        <v>3</v>
      </c>
      <c r="S19" t="inlineStr">
        <is>
          <t>先看结构，再定下扩展 useAudio、学习组件、统计、接线、补样式、构建冒烟、修缺陷的大方向，边做边报进度；但没有形成正式、持续更新的计划或状态表，且为修跟读高亮回退、听时长未入库、重复定义、状态缺陷、const 暂时性死区等处返工数回，属方向清楚但子任务与状态跟踪不够系统。</t>
        </is>
      </c>
      <c r="T19">
        <v>5</v>
      </c>
      <c r="U19" t="inlineStr">
        <is>
          <t>几个关键点想得对：变速用 audio.playbackRate 不动媒体时间轴，所以变速后 currentTime 仍和 LRC 时间戳对得上；听写用词级 LCS 比对，漏词、错词、多词分开标；生词做了停用词过滤和去重；从 LRC 统计词频来推高频未收词；录音 Blob 只存 IndexedDB 不上传。方向对，边界也想到了。</t>
        </is>
      </c>
      <c r="V19">
        <v>4</v>
      </c>
      <c r="W19" t="inlineStr">
        <is>
          <t>范围大，分成独立组件和 hooks 落地，5 个文件改、10 个新增，还跑通了 tsc、构建和 dev server 冒烟；没看到同文件反复处理或反复重试。扣 1 分是功能多调用偏多，能再精简。</t>
        </is>
      </c>
      <c r="X19"/>
      <c r="Y19" t="inlineStr">
        <is>
          <t>帅园椿</t>
        </is>
      </c>
      <c r="Z19" s="3">
        <v>46273</v>
      </c>
      <c r="AA19" t="inlineStr">
        <is>
          <t>通过</t>
        </is>
      </c>
      <c r="AB19"/>
      <c r="AC19"/>
      <c r="AD19"/>
    </row>
    <row r="20" ht="25.5" customHeight="1">
      <c r="A20" t="inlineStr">
        <is>
          <t>最近家长来续报时，前台总要翻报名和排课，往往剩一两节课才发现来不及安排。想在报名管理里补个续报提醒：进行中的报名剩两节或更少时给出明显提示，能直接看到学员、课程、老师和原来的上课时间。 从提醒里可以直接发起续报，学员和课程带出来就行，但排课得重新选还在用的；已经停用的排课不能再选。旧报名和原来的上课记录要保留，重复点续报也不能生成多条新报名。 把课时扣到提醒线、报名已结束、排课停用和重复操作这些情况补几个测试跑一下。</t>
        </is>
      </c>
      <c r="B20" t="inlineStr">
        <is>
          <t>2d257744-e040-459e-9d35-1546561cf873</t>
        </is>
      </c>
      <c r="C20" t="inlineStr">
        <is>
          <t>56eac8d5-8241-4184-83f9-d8c8d8725606</t>
        </is>
      </c>
      <c r="D20" t="inlineStr">
        <is>
          <t>第一轮</t>
        </is>
      </c>
      <c r="E20" s="2" t="str">
        <f>=HYPERLINK("https://github.com/zzvv/zw-21-1/commit/ff5418aa723aa585b07f1ef83cb09e52b8ec9920", "https://github.com/zzvv/zw-21-1/commit/ff5418aa723aa585b07f1ef83cb09e52b8ec9920")</f>
        <v>https://github.com/zzvv/zw-21-1/commit/ff5418aa723aa585b07f1ef83cb09e52b8ec9920</v>
      </c>
      <c r="F20" t="inlineStr">
        <is>
          <t>2d257744-e040-459e-9d35-1546561cf873.jsonl</t>
        </is>
      </c>
      <c r="G20" t="inlineStr">
        <is>
          <t>有外部依赖，未容器化</t>
        </is>
      </c>
      <c r="H20" t="inlineStr">
        <is>
          <t>Claude Code</t>
        </is>
      </c>
      <c r="I20" t="inlineStr">
        <is>
          <t>2.1.263</t>
        </is>
      </c>
      <c r="J20" t="inlineStr">
        <is>
          <t>MacOS/Linux</t>
        </is>
      </c>
      <c r="K20" t="inlineStr">
        <is>
          <t>feature迭代</t>
        </is>
      </c>
      <c r="L20" t="inlineStr">
        <is>
          <t>困难</t>
        </is>
      </c>
      <c r="M20" t="inlineStr">
        <is>
          <t>Python、FastAPI、SQLAlchemy、MySQL、Vue 3、Element Plus</t>
        </is>
      </c>
      <c r="N20">
        <v>4</v>
      </c>
      <c r="O20" t="inlineStr">
        <is>
          <t>提醒卡片、续报弹窗、旧数据保留、停用排课拦截和重复续报处理都已完成。新排课只校验是否启用，没有校验它必须属于原报名课程。</t>
        </is>
      </c>
      <c r="P20">
        <v>4</v>
      </c>
      <c r="Q20" t="inlineStr">
        <is>
          <t>提醒阈值、报名结束、停用排课、重复操作和核心测试都有覆盖。课程与新排课的一致性没有在服务端兜底。</t>
        </is>
      </c>
      <c r="R20">
        <v>4</v>
      </c>
      <c r="S20" t="inlineStr">
        <is>
          <t>先梳理模型、报名、排课和前端结构，确认 SQLite 测试链路后按后端、测试、前端和构建推进。</t>
        </is>
      </c>
      <c r="T20">
        <v>4</v>
      </c>
      <c r="U20" t="inlineStr">
        <is>
          <t>通过旧报名关联处理续报追溯和重复点击，也考虑了结束状态、权限和停用排课。遗漏了把新排课限制在原课程范围内。</t>
        </is>
      </c>
      <c r="V20">
        <v>4</v>
      </c>
      <c r="W20" t="inlineStr">
        <is>
          <t>15 个 API 级测试和前端构建均有成功输出。网络中断后能在新会话中重新建立测试环境并跑完整条链路。</t>
        </is>
      </c>
      <c r="X20"/>
      <c r="Y20" t="inlineStr">
        <is>
          <t>周伟</t>
        </is>
      </c>
      <c r="Z20" s="3">
        <v>46273.00902777778</v>
      </c>
      <c r="AA20" t="inlineStr">
        <is>
          <t>通过</t>
        </is>
      </c>
      <c r="AB20"/>
      <c r="AC20"/>
      <c r="AD20"/>
    </row>
    <row r="21" ht="25.5" customHeight="1">
      <c r="A21" t="inlineStr">
        <is>
          <t>这个项目现在的装卸记录都在内存里，服务一重启就没了，帮我加一下保存到本地的功能，就用配置里现成的路径，重启后能把之前的记录读回来，后面产生的新记录接着往里写。顺便加个功能让我能查到所有记录，按写入顺序返回，没数据就返回空数组。原来的统计接口也要把历史记录算进去。保存这块别等程序退出才写文件，要确实存好了再返回成功，同时写入和查询也不能丢数据或把文件弄坏。保存失败就报错，别把失败的记录算进去，也别发保存成功的通知。启动时如果发现文件坏了或者读不了，直接报错停下来，别当成没数据给覆盖了。查记录先做个接口就行，不用改页面。这次只保存装卸记录，别拿历史记录去恢复设备运行状态或者重新执行操作，做完补一下相关测试，原来的功能别受影响。</t>
        </is>
      </c>
      <c r="B21" t="inlineStr">
        <is>
          <t>ccfa73b2-a2c2-4a46-ba2f-fa6fd0c24bf6</t>
        </is>
      </c>
      <c r="C21" t="inlineStr">
        <is>
          <t>691deb49-6228-4117-b401-997fa54f619b</t>
        </is>
      </c>
      <c r="D21" t="inlineStr">
        <is>
          <t>第一轮</t>
        </is>
      </c>
      <c r="E21" s="2" t="str">
        <f>=HYPERLINK("https://github.com/yyzyCSDN/solo-coder-ygw-001/commit/e6d23c954796671a6a3b6c59beb9b31c195959c7", "https://github.com/yyzyCSDN/solo-coder-ygw-001/commit/e6d23c954796671a6a3b6c59beb9b31c195959c7")</f>
        <v>https://github.com/yyzyCSDN/solo-coder-ygw-001/commit/e6d23c954796671a6a3b6c59beb9b31c195959c7</v>
      </c>
      <c r="F21" t="inlineStr">
        <is>
          <t>ccfa73b2-a2c2-4a46-ba2f-fa6fd0c24bf6.jsonl</t>
        </is>
      </c>
      <c r="G21" t="inlineStr">
        <is>
          <t>无外部依赖</t>
        </is>
      </c>
      <c r="H21" t="inlineStr">
        <is>
          <t>Claude Code</t>
        </is>
      </c>
      <c r="I21" t="inlineStr">
        <is>
          <t>2.1.263</t>
        </is>
      </c>
      <c r="J21" t="inlineStr">
        <is>
          <t>MacOS/Linux</t>
        </is>
      </c>
      <c r="K21" t="inlineStr">
        <is>
          <t>feature迭代</t>
        </is>
      </c>
      <c r="L21" t="inlineStr">
        <is>
          <t>困难</t>
        </is>
      </c>
      <c r="M21" t="inlineStr">
        <is>
          <t>Go 1.23.12, net/http</t>
        </is>
      </c>
      <c r="N21">
        <v>3</v>
      </c>
      <c r="O21" t="inlineStr">
        <is>
          <t>正常写入、重启恢复、顺序查询和历史统计都能用，新增14个测试也通过了。但文件的追加逻辑在失败后保留了整条记录，重启会算进去，而且半写失败后还会留下之前写的内容，导致下次启动失败。保存失败这部分没做完整。</t>
        </is>
      </c>
      <c r="P21">
        <v>3</v>
      </c>
      <c r="Q21" t="inlineStr">
        <is>
          <t>页面没改，历史记录也没有拿去恢复设备状态或重放操作。但没有满足“保存失败就报错，别把失败的记录算进去”和“不能丢数据或把文件弄坏”：同步失败的记录重启后又被读回，部分写入失败还会把记录文件弄坏。这两种情况都重复复现了3次。</t>
        </is>
      </c>
      <c r="R21">
        <v>4</v>
      </c>
      <c r="S21" t="inlineStr">
        <is>
          <t>先查记录模块和调用它的地方，再分成持久化、错误传递、接口接入、补测4步推进，前三步做完都有更新状态，最后也做了重启和损坏文件检查。没有问题。不过最终回复已经说任务完成，但是补测那一步仍显示进行中。</t>
        </is>
      </c>
      <c r="T21">
        <v>3</v>
      </c>
      <c r="U21" t="inlineStr">
        <is>
          <t>知道先追加文件成功后再放进内存，但没处理失败时已经写进文件的内容，导致失败记录重启后被计入，或者留下半条记录。写测试时还先把删除已打开文件当成写失败，这样没有测到实际写盘失败后的残留。</t>
        </is>
      </c>
      <c r="V21">
        <v>3</v>
      </c>
      <c r="W21" t="inlineStr">
        <is>
          <t>补了14个测试，并实际启动服务检查重启和追加。冒烟时先编译失败，随后又修正监听地址、补溜筒配置、补重启后的对舱操作，才把流程跑通。最后构建、vet 和普通测试通过，但没有检查部分写入失败后的文件。</t>
        </is>
      </c>
      <c r="X21"/>
      <c r="Y21" t="inlineStr">
        <is>
          <t>孙蕤</t>
        </is>
      </c>
      <c r="Z21" s="3">
        <v>46273.00902777778</v>
      </c>
      <c r="AA21" t="inlineStr">
        <is>
          <t>通过</t>
        </is>
      </c>
      <c r="AB21"/>
      <c r="AC21"/>
      <c r="AD21"/>
    </row>
    <row r="22" ht="25.5" customHeight="1">
      <c r="A22" t="inlineStr">
        <is>
          <t>我们准备给设计评审开会，想在 Review desk 里按展区查看当前待处理事项，并一键生成一份给现场团队看的区域清单。清单需要包含该展区的对象顺序、每件对象的停留时间和未解决的 finding；没有选择展区时继续保留现在的总览。生成的清单要能下载，刷新页面后当前筛选也要保留，请把这个工作流补上。</t>
        </is>
      </c>
      <c r="B22" t="inlineStr">
        <is>
          <t>5cb8f1ef-1b11-496c-9674-4053351e2cd1</t>
        </is>
      </c>
      <c r="C22" t="inlineStr">
        <is>
          <t>282830ec-18b5-47e4-9bc7-8d4e4b2b6fca</t>
        </is>
      </c>
      <c r="D22" t="inlineStr">
        <is>
          <t>第一轮</t>
        </is>
      </c>
      <c r="E22" s="2" t="str">
        <f>=HYPERLINK("https://github.com/3037705347-21/exhibit-flow-studio-original/commit/4a11545e350ac86bc1e6520e12cd271ee60a4f03", "https://github.com/3037705347-21/exhibit-flow-studio-original/commit/4a11545e350ac86bc1e6520e12cd271ee60a4f03")</f>
        <v>https://github.com/3037705347-21/exhibit-flow-studio-original/commit/4a11545e350ac86bc1e6520e12cd271ee60a4f03</v>
      </c>
      <c r="F22" t="inlineStr">
        <is>
          <t>5cb8f1ef-1b11-496c-9674-4053351e2cd1.jsonl</t>
        </is>
      </c>
      <c r="G22" t="inlineStr">
        <is>
          <t>无外部依赖</t>
        </is>
      </c>
      <c r="H22" t="inlineStr">
        <is>
          <t>Claude Code</t>
        </is>
      </c>
      <c r="I22" t="inlineStr">
        <is>
          <t>2.1.241</t>
        </is>
      </c>
      <c r="J22" t="inlineStr">
        <is>
          <t>MacOS/Linux</t>
        </is>
      </c>
      <c r="K22" t="inlineStr">
        <is>
          <t>feature迭代</t>
        </is>
      </c>
      <c r="L22" t="inlineStr">
        <is>
          <t>中等</t>
        </is>
      </c>
      <c r="M22" t="inlineStr">
        <is>
          <t>TypeScript, React, Vite</t>
        </is>
      </c>
      <c r="N22">
        <v>5</v>
      </c>
      <c r="O22" t="inlineStr">
        <is>
          <t>按展区筛选后能看到对应清单，清单里有对象顺序、停留时间和未解决 finding；下载文件内容也对得上。清掉筛选回到总览、刷新页面后筛选还在，这几项都实际验证过。</t>
        </is>
      </c>
      <c r="P22">
        <v>5</v>
      </c>
      <c r="Q22" t="inlineStr">
        <is>
          <t>模型先核对了 Review desk 相关代码，再围绕展区筛选、区域清单、下载和刷新保留筛选逐项实现和验证；没有改无关模块，也没有别的多余动作。虽然中途重复读取文件，但是不影响对原始指令的遵循。</t>
        </is>
      </c>
      <c r="R22">
        <v>4</v>
      </c>
      <c r="S22" t="inlineStr">
        <is>
          <t>模型一开始先看了页面入口、状态持久化和领域数据，再补清单计算、页面状态和测试，整体顺序是对的。只是中间来回核对和调样式的次数有点多，收尾不够利落。</t>
        </is>
      </c>
      <c r="T22">
        <v>4</v>
      </c>
      <c r="U22" t="inlineStr">
        <is>
          <t>模型实现把区域清单做成现有数据的派生结果，筛选状态单独保存，能看出是在沿用原来的状态模型，没有把临时筛选写坏工作区数据。核心判断基本准确，但没有在过程中尽早收敛验证路径。</t>
        </is>
      </c>
      <c r="V22">
        <v>3</v>
      </c>
      <c r="W22" t="inlineStr">
        <is>
          <t>产物功能最后是跑通了，单测和 5 条端到端用例也通过；但是轨迹里多次重复读取同几份文件，Review 页面和样式也反复改了几轮，工具调用偏多，执行效率一般。</t>
        </is>
      </c>
      <c r="X22"/>
      <c r="Y22" t="inlineStr">
        <is>
          <t>刘睿</t>
        </is>
      </c>
      <c r="Z22" s="3">
        <v>46273</v>
      </c>
      <c r="AA22" t="inlineStr">
        <is>
          <t>通过</t>
        </is>
      </c>
      <c r="AB22"/>
      <c r="AC22"/>
      <c r="AD22"/>
    </row>
    <row r="23" ht="25.5" customHeight="1">
      <c r="A23" t="inlineStr">
        <is>
          <t>火山灰造成多个机场临时关闭后，运行团队需要尽快知道哪些既有航班和旅客会受影响；仓库已提供机场、航班样例、事件 JSON Schema，以及一个可一键启动且仅校验这些输入的 Docker Compose scaffold，但还没有业务 API 或持久化实现；请在此基础上从零构建一个 Python 3.12 纯后台 HTTP 服务，读取 fixtures 中的基础数据并接收关闭、延长和解除三类事件，严格校验机场代码、时间窗口和事件版本，以 event_id 保证重试幂等，按航班计划与关闭区间的重叠关系生成取消、延误或待确认的影响结果，将事件和计算结果持久化到 SQLite 且重启后不丢失，并提供按事件查看处理状态、按机场汇总影响以及分页查询受影响航班的接口；异常输入必须返回稳定的结构化错误且不得产生部分写入，同一事件的重复提交应返回原结果，跨午夜区间也要计算正确，最终为业务服务交付独立 Dockerfile，将服务和持久卷接入现有 Compose，补齐应用健康检查、自动化测试和一个可执行的 Docker 自测脚本，该脚本需在干净环境中构建镜像、启动服务并实际验证合法事件、非法事件、幂等重放、跨午夜计算和容器重启后的数据保留，全程不得调用外部航班或地图服务。</t>
        </is>
      </c>
      <c r="B23" t="inlineStr">
        <is>
          <t>9f72c0b3-74b5-48c6-a294-94a156e9c2dc</t>
        </is>
      </c>
      <c r="C23" t="inlineStr">
        <is>
          <t>16d239b8-906a-4006-a828-92d9627c226e</t>
        </is>
      </c>
      <c r="D23" t="inlineStr">
        <is>
          <t>第一轮</t>
        </is>
      </c>
      <c r="E23" s="2" t="str">
        <f>=HYPERLINK("https://github.com/VanceMichael/usr-0907-airport-disruption-scaffold/commit/40b46fa8da1db1b877bee30341bfcfd94cfb68e6", "https://github.com/VanceMichael/usr-0907-airport-disruption-scaffold/commit/40b46fa8da1db1b877bee30341bfcfd94cfb68e6")</f>
        <v>https://github.com/VanceMichael/usr-0907-airport-disruption-scaffold/commit/40b46fa8da1db1b877bee30341bfcfd94cfb68e6</v>
      </c>
      <c r="F23" t="inlineStr">
        <is>
          <t>轨迹_0907_第1题_9f72c0b3-74b5-48c6-a294-94a156e9c2dc.jsonl</t>
        </is>
      </c>
      <c r="G23" t="inlineStr">
        <is>
          <t>已容器化，可一键起环境</t>
        </is>
      </c>
      <c r="H23" t="inlineStr">
        <is>
          <t>Claude Code</t>
        </is>
      </c>
      <c r="I23" t="inlineStr">
        <is>
          <t>2.1.263</t>
        </is>
      </c>
      <c r="J23" t="inlineStr">
        <is>
          <t>MacOS/Linux</t>
        </is>
      </c>
      <c r="K23" t="inlineStr">
        <is>
          <t>0-1代码生成</t>
        </is>
      </c>
      <c r="L23" t="inlineStr">
        <is>
          <t>困难</t>
        </is>
      </c>
      <c r="M23" t="inlineStr">
        <is>
          <t>Python 3.12, SQLite, Docker</t>
        </is>
      </c>
      <c r="N23">
        <v>5</v>
      </c>
      <c r="O23" t="inlineStr">
        <is>
          <t>交付覆盖了新闻主题数据、后台接口、持久化与容器启动链路。独立执行时 35 项单元测试全部通过，Docker 无缓存构建成功，重启前 33 项检查和重启后 6 项恢复检查也全部通过，功能与可复现性均达到题目要求。</t>
        </is>
      </c>
      <c r="P23">
        <v>5</v>
      </c>
      <c r="Q23" t="inlineStr">
        <is>
          <t>实现保持为纯后台 Python 服务，并提供 Docker 配置和一键自测脚本；接口行为、分页、数据校验、持久化恢复及错误响应均按题面约束落地，没有加入前端或改动任务边界之外的内容。</t>
        </is>
      </c>
      <c r="R23">
        <v>4</v>
      </c>
      <c r="S23" t="inlineStr">
        <is>
          <t>工作按数据模型、接口实现、测试和容器验收逐步展开，最终形成了完整的验证闭环。中途对分页与合并行为的处理需要通过失败测试再调整，容器自测脚本也在执行后才修正输出捕获方式，前置风险识别仍有提升空间。</t>
        </is>
      </c>
      <c r="T23">
        <v>4</v>
      </c>
      <c r="U23" t="inlineStr">
        <is>
          <t>面对分页语义、重启持久化和自测脚本问题时，能够结合实际失败定位并修正，最终结果与验收标准一致。部分边界条件是在实现后由测试暴露才得到澄清，说明对数据合并规则和脚本进程行为的初始推演不够充分。</t>
        </is>
      </c>
      <c r="V23">
        <v>3</v>
      </c>
      <c r="W23" t="inlineStr">
        <is>
          <t>最终代码、35 项测试和容器自测均可运行，但整个实现使用了上百次工具调用。首次执行 34 项测试时出现 5 个失败和 2 个错误，修正后仍有 1 个失败；Docker 自测又因 resolve_base_image 的日志被命令替换捕获，拼成非法镜像名并触发 invalid reference format，随后继续修改和重跑。产物最终完成，进行了反复试错和验证返工。</t>
        </is>
      </c>
      <c r="X23"/>
      <c r="Y23" t="inlineStr">
        <is>
          <t>高勇前端</t>
        </is>
      </c>
      <c r="Z23" s="3">
        <v>46273</v>
      </c>
      <c r="AA23" t="inlineStr">
        <is>
          <t>通过</t>
        </is>
      </c>
      <c r="AB23"/>
      <c r="AC23"/>
      <c r="AD23"/>
    </row>
    <row r="24" ht="25.5" customHeight="1">
      <c r="A24" t="inlineStr">
        <is>
          <t>贺兰山岩画普查新增数百幅记录后，文保团队希望把多支离线采集队的结果可靠汇聚起来；请基于仓库给出的旧站点清单、NDJSON 提交样例和字段契约，从零实现一套 Node.js 22 与 TypeScript 的纯后台普查服务，批量接收带 submission_id 和 base_revision 的野外记录，在整批事务内完成字段、坐标、拍摄时间与内容指纹校验，利用球面距离、归一化方位和图案指纹识别同点位重复或疑似重复，明确区分自动合并与人工复核候选，并支持 submitted、needs_review、verified、rejected 的受控流转；数据写入 PostgreSQL 时必须处理同批重放、乱序修订和并发版本冲突，保留不可变审计事件，提供疑似重复组查询、单记录修订历史以及可断点续读的审计流接口，格式错误或任一记录冲突时整批回滚且返回可定位到行号的错误；请补齐 Docker Compose 中的应用容器、数据库迁移、健康检查和自动化测试，再提供一条可重复执行的容器化验收入口，实际覆盖并发导入、重复提交、原子回滚、状态流转、游标续读和服务重启后的恢复，测试只能使用仓库夹具与本地容器，不能依赖第三方识别、对象存储或地理服务。</t>
        </is>
      </c>
      <c r="B24" t="inlineStr">
        <is>
          <t>e4aecae3-bc0c-4656-ab62-49b43c620123</t>
        </is>
      </c>
      <c r="C24" t="inlineStr">
        <is>
          <t>94967dd9-4c41-43fb-b801-9a24334384cc</t>
        </is>
      </c>
      <c r="D24" t="inlineStr">
        <is>
          <t>第一轮</t>
        </is>
      </c>
      <c r="E24" s="2" t="str">
        <f>=HYPERLINK("https://github.com/VanceMichael/usr-0907-rock-art-census-scaffold/commit/577de776db090e5ed04b3680e7b32c2947bc5fd0", "https://github.com/VanceMichael/usr-0907-rock-art-census-scaffold/commit/577de776db090e5ed04b3680e7b32c2947bc5fd0")</f>
        <v>https://github.com/VanceMichael/usr-0907-rock-art-census-scaffold/commit/577de776db090e5ed04b3680e7b32c2947bc5fd0</v>
      </c>
      <c r="F24" t="inlineStr">
        <is>
          <t>轨迹_0907_第2题_e4aecae3-bc0c-4656-ab62-49b43c620123.jsonl</t>
        </is>
      </c>
      <c r="G24" t="inlineStr">
        <is>
          <t>已容器化，可一键起环境</t>
        </is>
      </c>
      <c r="H24" t="inlineStr">
        <is>
          <t>Claude Code</t>
        </is>
      </c>
      <c r="I24" t="inlineStr">
        <is>
          <t>2.1.263</t>
        </is>
      </c>
      <c r="J24" t="inlineStr">
        <is>
          <t>MacOS/Linux</t>
        </is>
      </c>
      <c r="K24" t="inlineStr">
        <is>
          <t>0-1代码生成</t>
        </is>
      </c>
      <c r="L24" t="inlineStr">
        <is>
          <t>困难</t>
        </is>
      </c>
      <c r="M24" t="inlineStr">
        <is>
          <t>Node.js 22, TypeScript, PostgreSQL, Docker Compose</t>
        </is>
      </c>
      <c r="N24">
        <v>4</v>
      </c>
      <c r="O24" t="inlineStr">
        <is>
          <t>核心服务、数据库迁移、类型检查和业务验收均可运行，15 项单元测试与 15 项业务及恢复检查通过。但 Dockerfile 未复制 test 目录，scripts/acceptance.sh 在容器内执行单元测试时实际得到 0 tests、0 pass，脚本仍继续并报告成功，因此交付未真正实现其宣称的容器内单元测试覆盖。</t>
        </is>
      </c>
      <c r="P24">
        <v>5</v>
      </c>
      <c r="Q24" t="inlineStr">
        <is>
          <t>提交实现了题目要求的 Node 后台服务、数据库约束、并发修订控制、审计与重启恢复，并使用 Docker 组织运行和验收。除验证脚本自身的覆盖缺口外，没有发现偏离指定技术形态、功能范围或禁止事项的实现。</t>
        </is>
      </c>
      <c r="R24">
        <v>4</v>
      </c>
      <c r="S24" t="inlineStr">
        <is>
          <t>整体拆分涵盖 schema、迁移、路由、并发控制、测试和容器验收，交付结构能够支撑完整业务流程。迁移入口、外键插入顺序和 revision 基线等关键依赖未在编码前充分核对，导致后续多轮返工，验证计划也没有设置容器测试数量的最低断言。</t>
        </is>
      </c>
      <c r="T24">
        <v>3</v>
      </c>
      <c r="U24" t="inlineStr">
        <is>
          <t>能够沿着编译错误、数据库错误和验收失败逐项收敛，最终解决大部分功能问题；但对实际迁移入口、Node strip-types 限制、SQL 占位符映射和测试数据隔离连续作出错误判断。最终回复又把 0 项容器单测表述为已执行通过，未识别验收输出与结论之间的矛盾。</t>
        </is>
      </c>
      <c r="V24">
        <v>2</v>
      </c>
      <c r="W24" t="inlineStr">
        <is>
          <t>最终业务路径和独立单元测试可以通过，但实施中反复调用不存在的迁移文件，多次修正迁移记账、SQL 参数位置、外键顺序、测试标识与 revision 基线，产生了大量可避免的失败。更关键的是验收脚本没有对测试发现数量进行校验，使缺失 test 目录的镜像仍返回成功，降低了自动验收结论的可信度。</t>
        </is>
      </c>
      <c r="X24"/>
      <c r="Y24" t="inlineStr">
        <is>
          <t>高勇前端</t>
        </is>
      </c>
      <c r="Z24" s="3">
        <v>46273</v>
      </c>
      <c r="AA24" t="inlineStr">
        <is>
          <t>通过</t>
        </is>
      </c>
      <c r="AB24"/>
      <c r="AC24"/>
      <c r="AD24"/>
    </row>
    <row r="25" ht="25.5" customHeight="1">
      <c r="A25" t="inlineStr">
        <is>
          <t>目前运营发布脱敏策略前只能凭规则配置判断效果，过宽的正则可能直接影响正式数据。请在现有系统增加脱敏预览：允许选择草稿或已发布版本并上传不超过一百行的JSONL，返回逐行脱敏结果、失败行号和各规则命中数，不创建正式作业，也不保存上传内容或原始敏感值。前端增加预览入口和结果展示，接口限制文件大小及行数，审计只记录策略、行数和命中统计。保持现有发布与批处理行为不变，并补齐后端、前端及端到端测试。</t>
        </is>
      </c>
      <c r="B25" t="inlineStr">
        <is>
          <t>ef59fc72-2fec-41b4-b15f-435fbdbf91c4</t>
        </is>
      </c>
      <c r="C25" t="inlineStr">
        <is>
          <t>90c06619-72d7-4c27-9c49-e211b798d3a4</t>
        </is>
      </c>
      <c r="D25" t="inlineStr">
        <is>
          <t>第一轮</t>
        </is>
      </c>
      <c r="E25" s="2" t="str">
        <f>=HYPERLINK("https://github.com/fddhuwenjie/cc-redaction-orchestrator-pilot-20260907/commit/4dfa92ad21d9eac81700e83a3101752478ee9d44", "https://github.com/fddhuwenjie/cc-redaction-orchestrator-pilot-20260907/commit/4dfa92ad21d9eac81700e83a3101752478ee9d44")</f>
        <v>https://github.com/fddhuwenjie/cc-redaction-orchestrator-pilot-20260907/commit/4dfa92ad21d9eac81700e83a3101752478ee9d44</v>
      </c>
      <c r="F25" t="inlineStr">
        <is>
          <t>ClaudeCodeCLI_auto-urm_第一条原始轨迹_ef59fc72.jsonl</t>
        </is>
      </c>
      <c r="G25" t="inlineStr">
        <is>
          <t>已容器化，可一键起环境</t>
        </is>
      </c>
      <c r="H25" t="inlineStr">
        <is>
          <t>Claude Code</t>
        </is>
      </c>
      <c r="I25" t="inlineStr">
        <is>
          <t>2.1.228</t>
        </is>
      </c>
      <c r="J25" t="inlineStr">
        <is>
          <t>MacOS/Linux</t>
        </is>
      </c>
      <c r="K25" t="inlineStr">
        <is>
          <t>feature迭代</t>
        </is>
      </c>
      <c r="L25" t="inlineStr">
        <is>
          <t>困难</t>
        </is>
      </c>
      <c r="M25" t="inlineStr">
        <is>
          <t>Go, React, TypeScript, SQLite, Playwright, Docker Compose</t>
        </is>
      </c>
      <c r="N25">
        <v>3</v>
      </c>
      <c r="O25" t="inlineStr">
        <is>
          <t>预览的主要流程已经完成，草稿和发布版本都能选择，上传后可以看到每行结果、失败行和规则命中数。预览相关的 Go 测试重复跑了十次，前端六项测试和生产构建也都通过。交付还不完整，超大文件是在 multipart 解析以后才被拒绝，存在先写入临时目录的可能；两条 Playwright 用例在真实 Chromium 中都卡在正则输入框，没有跑完。</t>
        </is>
      </c>
      <c r="P25">
        <v>3</v>
      </c>
      <c r="Q25" t="inlineStr">
        <is>
          <t>没有满足的是不保存上传内容和补齐端到端测试。当前实现无法严格排除超限文件临时落盘，新增的浏览器用例虽然写进了项目，实际执行仍然超时。</t>
        </is>
      </c>
      <c r="R25">
        <v>4</v>
      </c>
      <c r="S25" t="inlineStr">
        <is>
          <t>开始时先查看了策略、作业、审计和前端页面的现有实现，随后依次处理接口、测试、页面和验收，改动范围控制得比较稳。实现时沿用了原来的脱敏逻辑，没有另写一套规则，也没有改任务状态机。浏览器环境出现问题后继续通过真实服务检查接口，这个处理方向没有问题，不过在 Playwright 尚未跑通时就把端到端部分标为完成，状态更新稍早。</t>
        </is>
      </c>
      <c r="T25">
        <v>3</v>
      </c>
      <c r="U25" t="inlineStr">
        <is>
          <t>草稿和发布版本需要分别处理、失败行不能带回原文、预览不能产生正式作业，这些关键判断是正确的。前端测试因为重复使用 Response 对象失败后，也很快找到了原因。遗漏主要出现在上传边界和浏览器验证上，没有继续追查 ParseMultipartForm 可能写入临时文件的行为，也没有发现已有的正则输入框定位方式在真实浏览器中已经失效。</t>
        </is>
      </c>
      <c r="V25">
        <v>3</v>
      </c>
      <c r="W25" t="inlineStr">
        <is>
          <t>Go 格式化、vet、预览测试、前端测试和生产构建都实际执行过，测试时启动的临时服务也清理了。Docker Compose 不可用后又进行了多轮配置和系统库检查，过程有些拖长。最后只拿到了接口层面的验证结果，Playwright 仅成功列出用例，没有留下真实 Chromium 完整通过的记录。</t>
        </is>
      </c>
      <c r="X25"/>
      <c r="Y25" t="inlineStr">
        <is>
          <t>胡文杰</t>
        </is>
      </c>
      <c r="Z25" s="3">
        <v>46273</v>
      </c>
      <c r="AA25" t="inlineStr">
        <is>
          <t>通过</t>
        </is>
      </c>
      <c r="AB25"/>
      <c r="AC25"/>
      <c r="AD25"/>
    </row>
    <row r="26" ht="25.5" customHeight="1">
      <c r="A26" t="inlineStr">
        <is>
          <t>请基于现有“剧本连续性检查台”新增连续性规则配置与问题处置功能：用户可以分别启用或停用角色跨地点、道具提前出现、角色状态不一致三类检查，并调整“相近时间”的判定分钟数；问题列表中的每条问题支持标记为待处理、已确认或忽略，状态需要在场景编辑、时间线拖拽和重新检查后保持稳定，同时展示各状态的问题数量并支持组合筛选。请同步扩展类型定义、检查逻辑、状态管理、localStorage 存储、JSON 导入导出、示例数据和相关界面组件；为存量数据增加兼容迁移，旧格式导入后应补齐默认配置，新格式校验失败时仍不得覆盖原数据。补充关键逻辑测试并更新 README，最终确保 npm run build 通过，且项目可在 Docker 环境中通过 docker compose up --build 一键启动。</t>
        </is>
      </c>
      <c r="B26" t="inlineStr">
        <is>
          <t>3d5aea85-b055-47be-9b60-092630612da2</t>
        </is>
      </c>
      <c r="C26" t="inlineStr">
        <is>
          <t>b9a6a99b-917f-4f7d-9bbe-7fd119da2ffa</t>
        </is>
      </c>
      <c r="D26" t="inlineStr">
        <is>
          <t>第一轮</t>
        </is>
      </c>
      <c r="E26" s="2" t="str">
        <f>=HYPERLINK("https://github.com/makabaka-boop/ttt-001/commit/0af138ddddd60d40f8c1f5992d0ec98376926c33", "https://github.com/makabaka-boop/ttt-001/commit/0af138ddddd60d40f8c1f5992d0ec98376926c33")</f>
        <v>https://github.com/makabaka-boop/ttt-001/commit/0af138ddddd60d40f8c1f5992d0ec98376926c33</v>
      </c>
      <c r="F26" t="inlineStr">
        <is>
          <t>3d5aea85-b055-47be-9b60-092630612da2.jsonl</t>
        </is>
      </c>
      <c r="G26" t="inlineStr">
        <is>
          <t>已容器化，可一键起环境</t>
        </is>
      </c>
      <c r="H26" t="inlineStr">
        <is>
          <t>Claude Code</t>
        </is>
      </c>
      <c r="I26" t="inlineStr">
        <is>
          <t>2.1.228</t>
        </is>
      </c>
      <c r="J26" t="inlineStr">
        <is>
          <t>MacOS/Linux</t>
        </is>
      </c>
      <c r="K26" t="inlineStr">
        <is>
          <t>feature迭代</t>
        </is>
      </c>
      <c r="L26" t="inlineStr">
        <is>
          <t>困难</t>
        </is>
      </c>
      <c r="M26" t="inlineStr">
        <is>
          <t>React、TypeScript、Vite、Vitest、Docker、Nginx</t>
        </is>
      </c>
      <c r="N26">
        <v>5</v>
      </c>
      <c r="O26" t="inlineStr">
        <is>
          <t>需求里的规则配置、问题状态、组合筛选、数据迁移、导入校验、测试和文档都做了。共改动或新增14个文件，21项测试全部通过，项目构建和Docker启动也正常。</t>
        </is>
      </c>
      <c r="P26">
        <v>5</v>
      </c>
      <c r="Q26" t="inlineStr">
        <is>
          <t>三类规则开关、时间阈值、三种处置状态、状态保持、旧数据迁移和错误导入不覆盖原数据等要求都已落实，没有遗漏主要需求，也没有更换原有技术栈。</t>
        </is>
      </c>
      <c r="R26">
        <v>4</v>
      </c>
      <c r="S26" t="inlineStr">
        <is>
          <t>前期按数据结构、检查逻辑、存储迁移、界面和测试做了拆分，方向没有问题。但在测试和构建已经通过后，又重复检查checks.ts中的变量声明和状态推进逻辑，收尾阶段不够紧凑。</t>
        </is>
      </c>
      <c r="T26">
        <v>4</v>
      </c>
      <c r="U26" t="inlineStr">
        <is>
          <t>稳定问题标识、规则停用后保留状态以及v1到v2迁移的处理思路是对的。构建遇到TS2698后也准确定位并修好，不过收尾时又重复检查了几次核心逻辑，稍微有些绕。</t>
        </is>
      </c>
      <c r="V26">
        <v>4</v>
      </c>
      <c r="W26" t="inlineStr">
        <is>
          <t>代码、测试、构建和Docker验证都实际跑过。中间有一次Shell命令引号没闭合，改正后验证通过；后面重复跑了几轮测试和构建，工具调用略多，但没有影响最终结果。</t>
        </is>
      </c>
      <c r="X26"/>
      <c r="Y26" t="inlineStr">
        <is>
          <t>张鑫宇</t>
        </is>
      </c>
      <c r="Z26" s="3">
        <v>46273</v>
      </c>
      <c r="AA26" t="inlineStr">
        <is>
          <t>通过</t>
        </is>
      </c>
      <c r="AB26"/>
      <c r="AC26"/>
      <c r="AD26"/>
    </row>
    <row r="27" ht="25.5" customHeight="1">
      <c r="A27" t="inlineStr">
        <is>
          <t>脱敏预览上传存在隐私边界问题。接口会在一兆文件限制生效前解析 multipart，上传超大文件时可能先将内容写入系统临时目录，违背上传内容不得保存的要求。请修复这个问题，确保超限请求不会在磁盘留下上传内容，并保持正常预览、发布和批处理行为不变，补充对应回归测试。</t>
        </is>
      </c>
      <c r="B27" t="inlineStr">
        <is>
          <t>ef59fc72-2fec-41b4-b15f-435fbdbf91c4</t>
        </is>
      </c>
      <c r="C27" t="inlineStr">
        <is>
          <t>59034c40-ac22-4dee-8c04-2e95d0b42991</t>
        </is>
      </c>
      <c r="D27" t="inlineStr">
        <is>
          <t>第二轮</t>
        </is>
      </c>
      <c r="E27" s="2" t="str">
        <f>=HYPERLINK("https://github.com/fddhuwenjie/cc-redaction-orchestrator-pilot-20260907/commit/4dfa92ad21d9eac81700e83a3101752478ee9d44", "https://github.com/fddhuwenjie/cc-redaction-orchestrator-pilot-20260907/commit/4dfa92ad21d9eac81700e83a3101752478ee9d44")</f>
        <v>https://github.com/fddhuwenjie/cc-redaction-orchestrator-pilot-20260907/commit/4dfa92ad21d9eac81700e83a3101752478ee9d44</v>
      </c>
      <c r="F27" t="inlineStr">
        <is>
          <t>ClaudeCodeCLI_auto-urm_第二条完整原始Session轨迹_ef59fc72.jsonl</t>
        </is>
      </c>
      <c r="G27" t="inlineStr">
        <is>
          <t>已容器化，可一键起环境</t>
        </is>
      </c>
      <c r="H27" t="inlineStr">
        <is>
          <t>Claude Code</t>
        </is>
      </c>
      <c r="I27" t="inlineStr">
        <is>
          <t>2.1.228</t>
        </is>
      </c>
      <c r="J27" t="inlineStr">
        <is>
          <t>MacOS/Linux</t>
        </is>
      </c>
      <c r="K27" t="inlineStr">
        <is>
          <t>Bug修复</t>
        </is>
      </c>
      <c r="L27" t="inlineStr">
        <is>
          <t>中等</t>
        </is>
      </c>
      <c r="M27" t="inlineStr">
        <is>
          <t>Go, React, TypeScript, SQLite, Playwright, Docker Compose</t>
        </is>
      </c>
      <c r="N27">
        <v>4</v>
      </c>
      <c r="O27" t="inlineStr">
        <is>
          <t>这次修复能够正常工作。preview.go 在解析 multipart 之前限制了请求体，超限上传会提前终止，正常预览、发布和批处理没有受到影响。后端回归、前端测试和构建均已通过。</t>
        </is>
      </c>
      <c r="P27">
        <v>3</v>
      </c>
      <c r="Q27" t="inlineStr">
        <is>
          <t>上传边界和原有流程兼容这两个主要要求都完成了。不过处理过程中还修改了 server_test.go 里的取消与审计测试，并补了 api.ts 的空列表兼容，这些内容和本轮问题没有直接关系，改动范围没有控制好。</t>
        </is>
      </c>
      <c r="R27">
        <v>3</v>
      </c>
      <c r="S27" t="inlineStr">
        <is>
          <t>开始时规划比较清楚，先确认问题出在 ParseMultipartForm，再安排请求限制、边界验证和完整回归。核心修复通过后，注意力转到了原有测试波动和前端空列表问题上，后半段偏离了最初计划，也没有及时收住范围。</t>
        </is>
      </c>
      <c r="T27">
        <v>3</v>
      </c>
      <c r="U27" t="inlineStr">
        <is>
          <t>对 multipart 可能写入临时目录的原因判断准确，也意识到请求结束后再检查临时文件不能完全说明处理过程安全，因此补做了旧实现对照。后面把客户端写入量当成服务端实际读取量来解释，同时花了较多精力处理无关的基线问题，最终方向正确，但分析过程不够精简。</t>
        </is>
      </c>
      <c r="V27">
        <v>2</v>
      </c>
      <c r="W27" t="inlineStr">
        <is>
          <t>最后结果虽然跑通了，但中间试错比较多。写 preview_test.go 时先把边界文件的长度算错，修改旧代码时又因为没有确认最新内容导致替换失败。后面还出现过检索目录选错、server_test.go 引入未使用变量以及冒烟命令写错的情况。每个问题最终都处理掉了，但工具使用来回反复。</t>
        </is>
      </c>
      <c r="X27"/>
      <c r="Y27" t="inlineStr">
        <is>
          <t>胡文杰</t>
        </is>
      </c>
      <c r="Z27" s="3">
        <v>46273</v>
      </c>
      <c r="AA27" t="inlineStr">
        <is>
          <t>通过</t>
        </is>
      </c>
      <c r="AB27"/>
      <c r="AC27"/>
      <c r="AD27"/>
    </row>
    <row r="28" ht="25.5" customHeight="1">
      <c r="A28" t="inlineStr">
        <is>
          <t>请修复当前“剧本连续性检查台”中的以下问题：时间线把较晚场景拖到较早场景前面后，同一角色的跨地点冲突会因时间差为负数而漏报；两个同时间场景互换顺序后，问题标识会变化，原先的已确认或忽略状态丢失；场景地点为空时仍会和其他地点产生跨地点误报；角色的粘性状态首次漏填后会被系统遗忘，后续场景继续漏填不再提示；实测将道具标记为“本场获得”后再取消“本场出现”，“获得”状态仍被保留且无法操作，导致后续场景误认为该道具已经获得；JSON中的时间字段即使格式错误也能导入，相关时间检查会被静默跳过；页面允许清空场景标题，但导出的同一份数据无法再次导入；删除中间场景后再新建场景会生成重复场号；按角色或地点筛选后，如果对应角色被删除或地点被修改，筛选条件会残留，问题列表显示为空且下拉框没有有效选项；问题编号每次检查都会重新生成，编辑场景后可能把之前选中的高亮状态错误套到另一条问题上。</t>
        </is>
      </c>
      <c r="B28" t="inlineStr">
        <is>
          <t>518024db-1298-4af5-b94d-cb14f34e1375</t>
        </is>
      </c>
      <c r="C28" t="inlineStr">
        <is>
          <t>6c5f6f7a-28a4-4cd3-b293-2ed5cd5d2306</t>
        </is>
      </c>
      <c r="D28" t="inlineStr">
        <is>
          <t>第一轮</t>
        </is>
      </c>
      <c r="E28" s="2" t="str">
        <f>=HYPERLINK("https://github.com/makabaka-boop/ttt-001/commit/1b6168a330597aeae63d51decc93fd3446934115", "https://github.com/makabaka-boop/ttt-001/commit/1b6168a330597aeae63d51decc93fd3446934115")</f>
        <v>https://github.com/makabaka-boop/ttt-001/commit/1b6168a330597aeae63d51decc93fd3446934115</v>
      </c>
      <c r="F28" t="inlineStr">
        <is>
          <t>518024db-1298-4af5-b94d-cb14f34e1375.jsonl</t>
        </is>
      </c>
      <c r="G28" t="inlineStr">
        <is>
          <t>已容器化，可一键起环境</t>
        </is>
      </c>
      <c r="H28" t="inlineStr">
        <is>
          <t>Claude Code</t>
        </is>
      </c>
      <c r="I28" t="inlineStr">
        <is>
          <t>2.1.228</t>
        </is>
      </c>
      <c r="J28" t="inlineStr">
        <is>
          <t>MacOS/Linux</t>
        </is>
      </c>
      <c r="K28" t="inlineStr">
        <is>
          <t>Bug修复</t>
        </is>
      </c>
      <c r="L28" t="inlineStr">
        <is>
          <t>中等</t>
        </is>
      </c>
      <c r="M28" t="inlineStr">
        <is>
          <t>React、TypeScript、Vite、Vitest、Docker、Nginx</t>
        </is>
      </c>
      <c r="N28">
        <v>4</v>
      </c>
      <c r="O28" t="inlineStr">
        <is>
          <t>题目列出的主要问题均有对应修改，覆盖检查逻辑、场景编辑、问题筛选、JSON 校验和状态保持。补充了相关测试，共40项全部通过，npm run build 和 Docker 启动验证正常。但是缺少完整的页面交互回归记录。</t>
        </is>
      </c>
      <c r="P28">
        <v>4</v>
      </c>
      <c r="Q28" t="inlineStr">
        <is>
          <t>修改内容基本都围绕这次的 Bug，没有顺手改太多无关功能。题目中提到的场号重复、筛选条件残留、标题清空、问题状态丢失等情况都有处理，也补了相应测试。</t>
        </is>
      </c>
      <c r="R28">
        <v>3</v>
      </c>
      <c r="S28" t="inlineStr">
        <is>
          <t>一开始能按检查逻辑、数据导入、场景编辑和问题列表分开处理，思路是清楚的。不过中间有几处来回调整，比如粘性状态最开始只处理了一次漏填，后面才补成连续漏填都提示；问题标识的稳定方式也是检查后又完善的。</t>
        </is>
      </c>
      <c r="T28">
        <v>3</v>
      </c>
      <c r="U28" t="inlineStr">
        <is>
          <t>大部分问题都找到了实际原因。比如跨地点漏报是时间差出现负数，状态丢失是问题编号每次重新生成，导入异常是时间字段校验不严。部分边界情况考虑得稍晚，等时场景换序和连续漏填是在后续检查时才进一步补全。</t>
        </is>
      </c>
      <c r="V28">
        <v>3</v>
      </c>
      <c r="W28" t="inlineStr">
        <is>
          <t>最后代码、测试、构建和 Docker 启动都跑通了，结果可以正常使用。不过整个过程比较慢，花了大约36分钟，中间多次重复查看同一批文件，也重复跑了几轮测试，执行上不算特别利落。</t>
        </is>
      </c>
      <c r="X28"/>
      <c r="Y28" t="inlineStr">
        <is>
          <t>张鑫宇</t>
        </is>
      </c>
      <c r="Z28" s="3">
        <v>46273</v>
      </c>
      <c r="AA28" t="inlineStr">
        <is>
          <t>通过</t>
        </is>
      </c>
      <c r="AB28"/>
      <c r="AC28"/>
      <c r="AD28"/>
    </row>
    <row r="29" ht="25.5" customHeight="1">
      <c r="A29" t="inlineStr">
        <is>
          <t>新建园区访客微服务平台。用户服务负责登录和权限，访客服务管理预约、审核和入园记录，前端通过网关访问；数据库隔离，服务间用 HTTP 或 gRPC 调用。编排命令一键启动全部组件。</t>
        </is>
      </c>
      <c r="B29" t="inlineStr">
        <is>
          <t>b23ca61f-cb3c-40f8-9072-6b53d58ee4b7</t>
        </is>
      </c>
      <c r="C29" t="inlineStr">
        <is>
          <t>c198f6a0-e2f5-46ba-8cce-d2dfb57d7b75</t>
        </is>
      </c>
      <c r="D29" t="inlineStr">
        <is>
          <t>1</t>
        </is>
      </c>
      <c r="E29" s="2" t="str">
        <f>=HYPERLINK("https://github.com/ljzljz520-eng/ljz-419-2/commit/223a44352af273188a5b84891714008b8d4018ae", "https://github.com/ljzljz520-eng/ljz-419-2/commit/223a44352af273188a5b84891714008b8d4018ae")</f>
        <v>https://github.com/ljzljz520-eng/ljz-419-2/commit/223a44352af273188a5b84891714008b8d4018ae</v>
      </c>
      <c r="F29" t="inlineStr">
        <is>
          <t>b23ca61f-cb3c-40f8-9072-6b53d58ee4b7.jsonl</t>
        </is>
      </c>
      <c r="G29" t="inlineStr">
        <is>
          <t>有外部依赖，未容器化</t>
        </is>
      </c>
      <c r="H29" t="inlineStr">
        <is>
          <t>Claude Code</t>
        </is>
      </c>
      <c r="I29" t="inlineStr">
        <is>
          <t>2.1.263</t>
        </is>
      </c>
      <c r="J29" t="inlineStr">
        <is>
          <t>MacOS/Linux</t>
        </is>
      </c>
      <c r="K29" t="inlineStr">
        <is>
          <t>0-1代码生成</t>
        </is>
      </c>
      <c r="L29" t="inlineStr">
        <is>
          <t>困难</t>
        </is>
      </c>
      <c r="M29" t="inlineStr">
        <is>
          <t>JavaScript, Node.js， HTML, CSS</t>
        </is>
      </c>
      <c r="N29">
        <v>3</v>
      </c>
      <c r="O29" t="inlineStr">
        <is>
          <t>核心流程可用且独立复跑成功，但server.mjs在重启时重置序列，实测生成重复A00001；这是持久化业务主键缺陷，最终全部完成声明未披露。</t>
        </is>
      </c>
      <c r="P29">
        <v>5</v>
      </c>
      <c r="Q29" t="inlineStr">
        <is>
          <t>逐条核对了所有stated constraints：用户服务负责登录/权限，访客服务覆盖预约/审核/入园记录，前端经网关访问，数据文件隔离，服务间 HTTP 调用，npm start 一键启动全部组件；均有代码和运行证据。</t>
        </is>
      </c>
      <c r="R29">
        <v>3</v>
      </c>
      <c r="S29" t="inlineStr">
        <is>
          <t>一开始给出整体架构，之后建立网关、前端、编排和端到端四阶段并持续更新；但拆解晚于核心服务写入，且没有单列后端完整性和重启持久化检查，导致遗漏db.mjs、openSync 修补和最终序号缺陷。</t>
        </is>
      </c>
      <c r="T29">
        <v>4</v>
      </c>
      <c r="U29" t="inlineStr">
        <is>
          <t>对8080 端口误判和 /internal/verify 被全局鉴权拦截的诊断都有日志/响应证据，并采取了针对性修复；不足是没有从文件持久化推出序列必须从存量恢复这一隐含边界，属于局部分析不足。</t>
        </is>
      </c>
      <c r="V29">
        <v>4</v>
      </c>
      <c r="W29" t="inlineStr">
        <is>
          <t>日志、lsof、健康检查和两轮网关端到端请求有效恢复了 EADDRINUSE 与全业务401，共 53 次工具调用基本围绕交付推进；扣分点是存在大段 curl 只打印结果而不自动断言，证据生成不够可靠。</t>
        </is>
      </c>
      <c r="X29"/>
      <c r="Y29" t="inlineStr">
        <is>
          <t>梁甲正</t>
        </is>
      </c>
      <c r="Z29" s="3">
        <v>46273</v>
      </c>
      <c r="AA29" t="inlineStr">
        <is>
          <t>通过</t>
        </is>
      </c>
      <c r="AB29"/>
      <c r="AC29"/>
      <c r="AD29"/>
    </row>
    <row r="30" ht="25.5" customHeight="1">
      <c r="A30" t="inlineStr">
        <is>
          <t>完善认证授权流程。注册时校验邮箱唯一和密码强度，登录成功返回访问令牌，访问用户管理接口必须带令牌；令牌过期、签名错误和权限不足要返回不同错误码。接口文档里给出可复制的请求示例。</t>
        </is>
      </c>
      <c r="B30" t="inlineStr">
        <is>
          <t>40a688e5-ccec-40aa-af57-d34e9e349578</t>
        </is>
      </c>
      <c r="C30" t="inlineStr">
        <is>
          <t>1d8b1a01-1b05-495a-9422-cef4445453cc</t>
        </is>
      </c>
      <c r="D30" t="inlineStr">
        <is>
          <t>1</t>
        </is>
      </c>
      <c r="E30" s="2" t="str">
        <f>=HYPERLINK("https://github.com/ljzljz520-eng/ljz-419-12/commit/e6161624a7800107cdff3b10dc64ac4361f38465", "https://github.com/ljzljz520-eng/ljz-419-12/commit/e6161624a7800107cdff3b10dc64ac4361f38465")</f>
        <v>https://github.com/ljzljz520-eng/ljz-419-12/commit/e6161624a7800107cdff3b10dc64ac4361f38465</v>
      </c>
      <c r="F30" t="inlineStr">
        <is>
          <t>40a688e5-ccec-40aa-af57-d34e9e349578.jsonl</t>
        </is>
      </c>
      <c r="G30" t="inlineStr">
        <is>
          <t>已容器化，可一键起环境</t>
        </is>
      </c>
      <c r="H30" t="inlineStr">
        <is>
          <t>Claude Code</t>
        </is>
      </c>
      <c r="I30" t="inlineStr">
        <is>
          <t>2.1.263</t>
        </is>
      </c>
      <c r="J30" t="inlineStr">
        <is>
          <t>MacOS/Linux</t>
        </is>
      </c>
      <c r="K30" t="inlineStr">
        <is>
          <t>Feature迭代</t>
        </is>
      </c>
      <c r="L30" t="inlineStr">
        <is>
          <t>困难</t>
        </is>
      </c>
      <c r="M30" t="inlineStr">
        <is>
          <t>Python, FastAPI, SQLAlchemy, Pydantic, python-jose, Vue 3, Vite</t>
        </is>
      </c>
      <c r="N30">
        <v>3</v>
      </c>
      <c r="O30" t="inlineStr">
        <is>
          <t>主要认证路径落到真实代码且23项定向检查通过，但正式 pytest 仍有 4 失败、关键验收仅在临时脚本、文档不能直接复制，且并发邮箱唯一错误未闭环。</t>
        </is>
      </c>
      <c r="P30">
        <v>4</v>
      </c>
      <c r="Q30" t="inlineStr">
        <is>
          <t>邮箱预查、密码强度、登录令牌、用户路由鉴权和三类不同错误码均满足；明确要求的可复制请求示例因 $BASE 未初始化只部分满足。</t>
        </is>
      </c>
      <c r="R30">
        <v>4</v>
      </c>
      <c r="S30" t="inlineStr">
        <is>
          <t>轨迹把需求拆成密码/唯一性、令牌错误、文档、验证四项并持续更新；没有将仓库内安全回归、并发事务处理与干净 shell 文档烟测列为完成门槛。</t>
        </is>
      </c>
      <c r="T30">
        <v>4</v>
      </c>
      <c r="U30" t="inlineStr">
        <is>
          <t>正确采用ExpiredSignatureError/JWTError 分类、保持旧 token 方法兼容 gRPC，并识别既有测试 patch 缺陷；遗漏查后写竞态和临时测试不可持续的问题。</t>
        </is>
      </c>
      <c r="V30">
        <v>3</v>
      </c>
      <c r="W30" t="inlineStr">
        <is>
          <t>能从环境与路径失败中恢复，并产出构建、定向测试和源码证据；但 106 次调用存在明显反复，最终仍以回归测试爆红和仓库外临时测试收尾。</t>
        </is>
      </c>
      <c r="X30"/>
      <c r="Y30" t="inlineStr">
        <is>
          <t>梁甲正</t>
        </is>
      </c>
      <c r="Z30" s="3">
        <v>46273</v>
      </c>
      <c r="AA30" t="inlineStr">
        <is>
          <t>通过</t>
        </is>
      </c>
      <c r="AB30"/>
      <c r="AC30"/>
      <c r="AD30"/>
    </row>
    <row r="31" ht="25.5" customHeight="1">
      <c r="A31" t="inlineStr">
        <is>
          <t>在 tokenizer 与 search 模块间插入纠正层。预计算 terms 表所有 term 的 3-gram 特征，构建 trigram_idx 表（gram CHAR(3), term_id INT, offset_in_term INT），写入候选召回倒排。召回后的候选集使用纯 Go 实现的 Damerau-Levenshtein 算法计算距离，支持相邻字符交换操作。阈值规则：英文词 len≥4 最多容忍 2 次编辑，中文按汉字数而非 rune 数计算距离。纠错结果前 5 条按距离升序、DF 降序混合排序，停用词与长度 &lt; 3 的词不参与计算。后端暴露 Correct(query, terms) []Suggestion 纯函数与 /api/correct?q= 接口，零结果页展示候选建议列表</t>
        </is>
      </c>
      <c r="B31" t="inlineStr">
        <is>
          <t>f1c50f79-6d17-4cb2-a25d-f56fb6a09581</t>
        </is>
      </c>
      <c r="C31" t="inlineStr">
        <is>
          <t>ae4e87c7-bad3-4c93-a432-b3e203007b25</t>
        </is>
      </c>
      <c r="D31" t="inlineStr">
        <is>
          <t>第一轮</t>
        </is>
      </c>
      <c r="E31" s="2" t="str">
        <f>=HYPERLINK("https://github.com/littlepigjg/gy-09-08-01-2/commit/83e2ec6173269d447c03f0b8516fc8f6d1ce6506", "https://github.com/littlepigjg/gy-09-08-01-2/commit/83e2ec6173269d447c03f0b8516fc8f6d1ce6506")</f>
        <v>https://github.com/littlepigjg/gy-09-08-01-2/commit/83e2ec6173269d447c03f0b8516fc8f6d1ce6506</v>
      </c>
      <c r="F31" t="inlineStr">
        <is>
          <t>f1c50f79-6d17-4cb2-a25d-f56fb6a09581.jsonl</t>
        </is>
      </c>
      <c r="G31" t="inlineStr">
        <is>
          <t>有外部依赖，未容器化</t>
        </is>
      </c>
      <c r="H31" t="inlineStr">
        <is>
          <t>Claude Code</t>
        </is>
      </c>
      <c r="I31" t="inlineStr">
        <is>
          <t xml:space="preserve">        2.1.263</t>
        </is>
      </c>
      <c r="J31" t="inlineStr">
        <is>
          <t>MacOS/Linux</t>
        </is>
      </c>
      <c r="K31" t="inlineStr">
        <is>
          <t>0-1代码生成</t>
        </is>
      </c>
      <c r="L31" t="inlineStr">
        <is>
          <t>困难</t>
        </is>
      </c>
      <c r="M31" t="inlineStr">
        <is>
          <t>Go ，MySQL，net/http</t>
        </is>
      </c>
      <c r="N31">
        <v>5</v>
      </c>
      <c r="O31" t="inlineStr">
        <is>
          <t>所有需求点全实现了，没有遗漏也没有虚报。三个核心产物——纯函数 Correct、DL 距离算法、trigram_idx 表——都跟 prompt 对得上。额外补了不少自己加的东西：历史 term 启动时自动回填 trigram、trigram 表跟着 term 删除级联清理、前端零结果页还能点建议词直接重试。go build 和 go test 都过了</t>
        </is>
      </c>
      <c r="P31">
        <v>5</v>
      </c>
      <c r="Q31" t="inlineStr">
        <is>
          <t>prompt 里说的字段名、类型、函数签名、阈值规则、排序方式，全按要求来的，没有自己改。零外部依赖这点也守住了——整个纠错层只用了 unicode 包。中文按汉字计距这点 prompt 特别强调，实现里确实没踩字节数的坑。没有引入 prompt 没要求的库或功能</t>
        </is>
      </c>
      <c r="R31">
        <v>4</v>
      </c>
      <c r="S31" t="inlineStr">
        <is>
          <t>先把已有代码摸一遍，然后从底层往上——先写距离算法，再搭纠错层，接着改数据层和索引写入，最后挂 API 和前端。中间有自然的分段说明（"现在来建索引层""现在写测试"），但没有用 TODO 列表或结构化看板那种东西。几次 Edit 同一文件是因为一步步加功能</t>
        </is>
      </c>
      <c r="T31">
        <v>4</v>
      </c>
      <c r="U31" t="inlineStr">
        <is>
          <t>OSA 版 DL（多项式时间）、trigram 双边界填充让首尾 typo 可召回、中文按 Han rune 计距不踩字节坑。但 OSA 的 ca→abc=3 边界是测试时才发现的，不是提前推演出来的；Edit 旧字符串匹配失败那次也是盲试没先读文件</t>
        </is>
      </c>
      <c r="V31">
        <v>4</v>
      </c>
      <c r="W31" t="inlineStr">
        <is>
          <t>总共 47 次 tool call，效率还行。4 个新文件一次写成就，读文件没有明显重复。只有一次 Edit 失败后正确恢复了。但有几处冗余：gofmt 改了已跟踪文件后反复跑 build+test+vet 确认，其实可以省；index.go 前后改了 8 次，属于增量插入的正常迭代，但如果先想清楚再写会更干净</t>
        </is>
      </c>
      <c r="X31"/>
      <c r="Y31" t="inlineStr">
        <is>
          <t>高源</t>
        </is>
      </c>
      <c r="Z31" s="3">
        <v>46273</v>
      </c>
      <c r="AA31" t="inlineStr">
        <is>
          <t>通过</t>
        </is>
      </c>
      <c r="AB31"/>
      <c r="AC31"/>
      <c r="AD31"/>
    </row>
    <row r="32" ht="25.5" customHeight="1">
      <c r="A32" t="inlineStr">
        <is>
          <t>search 零结果时别让用户手动改字，自动调用纠错层拿第一个建议词替换掉再搜一次。Correct 纯函数签名别动，还是不碰 DB。searchHandler 里加个 autocorrect 参数默认开着，全表词表拿了喂给 Correct，取第一条 suggestion 的 Term 替换原 query 重新跑搜索。返回里加个 corrected_from 字段标记原来拼错的那个词。AllTermsDF 每次全表扫太慢，Handler 层搞个 30 秒 TTL 的简单缓存，前端也需要跟着修改</t>
        </is>
      </c>
      <c r="B32" t="inlineStr">
        <is>
          <t>f1c50f79-6d17-4cb2-a25d-f56fb6a09581</t>
        </is>
      </c>
      <c r="C32" t="inlineStr">
        <is>
          <t>eaee4ac8-a562-4490-87dc-faf83abb9642</t>
        </is>
      </c>
      <c r="D32" t="inlineStr">
        <is>
          <t>第二轮</t>
        </is>
      </c>
      <c r="E32" s="2" t="str">
        <f>=HYPERLINK("https://github.com/littlepigjg/gy-09-08-01-2/commit/83e2ec6173269d447c03f0b8516fc8f6d1ce6506", "https://github.com/littlepigjg/gy-09-08-01-2/commit/83e2ec6173269d447c03f0b8516fc8f6d1ce6506")</f>
        <v>https://github.com/littlepigjg/gy-09-08-01-2/commit/83e2ec6173269d447c03f0b8516fc8f6d1ce6506</v>
      </c>
      <c r="F32" t="inlineStr">
        <is>
          <t>f1c50f79-6d17-4cb2-a25d-f56fb6a09581 (1).jsonl</t>
        </is>
      </c>
      <c r="G32" t="inlineStr">
        <is>
          <t>有外部依赖，未容器化</t>
        </is>
      </c>
      <c r="H32" t="inlineStr">
        <is>
          <t>Claude Code</t>
        </is>
      </c>
      <c r="I32" t="inlineStr">
        <is>
          <t>2.1.263</t>
        </is>
      </c>
      <c r="J32" t="inlineStr">
        <is>
          <t>MacOS/Linux</t>
        </is>
      </c>
      <c r="K32" t="inlineStr">
        <is>
          <t>feature迭代</t>
        </is>
      </c>
      <c r="L32" t="inlineStr">
        <is>
          <t>中等</t>
        </is>
      </c>
      <c r="M32" t="inlineStr">
        <is>
          <t>Go ，MySQL，net/http</t>
        </is>
      </c>
      <c r="N32">
        <v>4</v>
      </c>
      <c r="O32" t="inlineStr">
        <is>
          <t>所有明示需求全实现了——零结果自动纠错、autocorrect 参数默认开启、corrected_from 字段返回拼错词、30 秒 TTL 缓存、前端页面也跟着适配了。上传/更新/删除索引后主动让缓存失效，边界处理挺扎实。编译和测试全绿。但是对于多词拼错的复杂 query 场景只取了单条建议替换，功能上符合要求但不够精细</t>
        </is>
      </c>
      <c r="P32">
        <v>5</v>
      </c>
      <c r="Q32" t="inlineStr">
        <is>
          <t>Correct 函数签名从头到尾没动，autocorrect 默认值设成 true、TTL 卡准 30 秒、corrected_from 也加上了，前端那边处理 auto_corrected 字段来显示纠正提示。没有擅作主张加东西，也没漏掉任何一个明确约束</t>
        </is>
      </c>
      <c r="R32">
        <v>4</v>
      </c>
      <c r="S32" t="inlineStr">
        <is>
          <t>顺序对的：先给纠错层加必要字段，再写 handler 里的缓存和自动纠错逻辑，验证能编译后补单元测试，最后改前端。每个阶段有阶段性验证，出错了能马上调整。但没显式拆子任务，也不主动报进度，全靠顺序往下走，规划感偏弱</t>
        </is>
      </c>
      <c r="T32">
        <v>4</v>
      </c>
      <c r="U32" t="inlineStr">
        <is>
          <t>核心意图理解准，"Correct 签名不动"这条硬约束全程没松。遇到 Edit 失败能换策略重试，不是原地死磕。中间有两次小自我重述：rewriteQuery 写了一版自己觉得乱又重写了一次；Suggestion.From 字段用了 json:"-" 不让它漏到 API 输出里，体现了在想 API 暴露边界，就是 rewriteQuery 用了正则全量替换而非精确控制，暴露出思考不够彻底的小瑕疵</t>
        </is>
      </c>
      <c r="V32">
        <v>4</v>
      </c>
      <c r="W32" t="inlineStr">
        <is>
          <t>23 次调用量对于这个 scope 来说算正常，没有反复读同一文件、也没有原地重试失败命令的情况。Edit 失败后立即换策略修正，整体路径短而准。但是有一次读了个没有变化的文件——刚改过的 handler 又 Read 了一遍，属于可避免的浪费</t>
        </is>
      </c>
      <c r="X32"/>
      <c r="Y32" t="inlineStr">
        <is>
          <t>高源</t>
        </is>
      </c>
      <c r="Z32" s="3">
        <v>46273</v>
      </c>
      <c r="AA32" t="inlineStr">
        <is>
          <t>通过</t>
        </is>
      </c>
      <c r="AB32"/>
      <c r="AC32"/>
      <c r="AD32"/>
    </row>
    <row r="33" ht="25.5" customHeight="1">
      <c r="A33" t="inlineStr">
        <is>
          <t>最近有几间琴房要轮流检修，排课管理员现在只能一条条翻课表，再通知学员和老师，临时调房很容易漏。
想在教室管理里补一个检修处理：琴房开始检修后，能看到后续受影响的排课以及对应的学员和老师；选择另一间可用琴房后，可以把同一批受影响的排课一起调整过去。
新琴房在相同时间已经有课时不能调，找不到可用琴房也要给出明确提示。过去的上课记录不要改，重复点确认也不能把同一条排课反复调整。把时段冲突、停用琴房、没有替代房间和重复操作这些情况补几个测试。</t>
        </is>
      </c>
      <c r="B33" t="inlineStr">
        <is>
          <t>1646860f-0528-4a00-b4c6-736e8af23348</t>
        </is>
      </c>
      <c r="C33" t="inlineStr">
        <is>
          <t>877bef82-517e-4abf-a947-6ca9f6544a73</t>
        </is>
      </c>
      <c r="D33" t="inlineStr">
        <is>
          <t>第一轮</t>
        </is>
      </c>
      <c r="E33" s="2" t="str">
        <f>=HYPERLINK("https://github.com/zzvv/zw-21-1/commit/ff5418aa723aa585b07f1ef83cb09e52b8ec9920", "https://github.com/zzvv/zw-21-1/commit/ff5418aa723aa585b07f1ef83cb09e52b8ec9920")</f>
        <v>https://github.com/zzvv/zw-21-1/commit/ff5418aa723aa585b07f1ef83cb09e52b8ec9920</v>
      </c>
      <c r="F33" t="inlineStr">
        <is>
          <t>1646860f-0528-4a00-b4c6-736e8af23348.jsonl</t>
        </is>
      </c>
      <c r="G33" t="inlineStr">
        <is>
          <t>有外部依赖，未容器化</t>
        </is>
      </c>
      <c r="H33" t="inlineStr">
        <is>
          <t>Claude Code</t>
        </is>
      </c>
      <c r="I33" t="inlineStr">
        <is>
          <t>2.1.263</t>
        </is>
      </c>
      <c r="J33" t="inlineStr">
        <is>
          <t>MacOS/Linux</t>
        </is>
      </c>
      <c r="K33" t="inlineStr">
        <is>
          <t>feature迭代</t>
        </is>
      </c>
      <c r="L33" t="inlineStr">
        <is>
          <t>困难</t>
        </is>
      </c>
      <c r="M33" t="inlineStr">
        <is>
          <t>Python / FastAPI / SQLAlchemy / MySQL；Vue 3 / Element Plus</t>
        </is>
      </c>
      <c r="N33">
        <v>4</v>
      </c>
      <c r="O33" t="inlineStr">
        <is>
          <t>功能已经能跑：教室里可以发起检修、查看受影响的排课，选好琴房后把这批课一起调过去，前端也接上了。问题在于已有的 MySQL 库直接用会少新字段，另外日期冲突只按原课表范围算，检修前已经结束的课也可能挡住候选琴房。</t>
        </is>
      </c>
      <c r="P33">
        <v>4</v>
      </c>
      <c r="Q33" t="inlineStr">
        <is>
          <t>题目里关心的老师和学员信息、时段冲突、检修或停用琴房、没有替代房间、重复点确认和测试，都有回应。没有做成考勤或审批那一套。只是旧库升级这件事没有处理。</t>
        </is>
      </c>
      <c r="R33">
        <v>4</v>
      </c>
      <c r="S33" t="inlineStr">
        <is>
          <t>先把教室、排课、报名和上课记录之间的关系看了一遍，后面先做后端和 SQLite 测试，再补页面和构建，顺序没有乱。对已有数据库怎么加字段、检修开始日之后才需要避开的时间范围，前面想得还不够。</t>
        </is>
      </c>
      <c r="T33">
        <v>4</v>
      </c>
      <c r="U33" t="inlineStr">
        <is>
          <t>知道不能直接把原排课改掉，所以保留旧排课，再建一条承接的新排课，同时把有效报名挪过去；重复点击也有防住。时间、星期和日期都拿来判断了，但日期范围没有从检修开始日截断，容易把已经过去的占用也当成冲突。</t>
        </is>
      </c>
      <c r="V33">
        <v>4</v>
      </c>
      <c r="W33" t="inlineStr">
        <is>
          <t>接口、页面和 7 个测试都写完了，前端构建也过了。测试主要跑在 SQLite 上，没有验证已有 MySQL 表加字段后的情况，也没测到日期边界这类细一点的情况。</t>
        </is>
      </c>
      <c r="X33"/>
      <c r="Y33" t="inlineStr">
        <is>
          <t>周伟</t>
        </is>
      </c>
      <c r="Z33" s="3">
        <v>46273</v>
      </c>
      <c r="AA33" t="inlineStr">
        <is>
          <t>通过</t>
        </is>
      </c>
      <c r="AB33"/>
      <c r="AC33"/>
      <c r="AD33"/>
    </row>
    <row r="34" ht="25.5" customHeight="1">
      <c r="A34" t="inlineStr">
        <is>
          <t>现在签署人只能在签署页面填写字段并查看发送方预先添加的附件，遇到需要提交身份证明、报价单或其他佐证材料的流程时，发送方无法在同一份签署记录中收集这些文件。请支持为指定收件人配置可选或必需的支持材料上传项，签署人在自己的签署页面上传文件后才能在必需项未完成时提交签署；文件必须绑定到对应收件人和信封，完成签署后发送方可以查看并下载材料，后续修改或删除应受到信封状态和权限约束，同时在审计记录中保留上传和提交信息。</t>
        </is>
      </c>
      <c r="B34" t="inlineStr">
        <is>
          <t>f8081e52-c7c4-481d-a19f-8f9ef7017a7b</t>
        </is>
      </c>
      <c r="C34" t="inlineStr">
        <is>
          <t>fddb8b79-9070-4510-af02-9ff16a42e9cb</t>
        </is>
      </c>
      <c r="D34" t="inlineStr">
        <is>
          <t>第一轮</t>
        </is>
      </c>
      <c r="E34" s="2" t="str">
        <f>=HYPERLINK("https://github.com/Xiang1218-Yu/documenso/commit/b19fc8d15674c3a8133f54257423dd6e27b14111", "https://github.com/Xiang1218-Yu/documenso/commit/b19fc8d15674c3a8133f54257423dd6e27b14111")</f>
        <v>https://github.com/Xiang1218-Yu/documenso/commit/b19fc8d15674c3a8133f54257423dd6e27b14111</v>
      </c>
      <c r="F34" t="inlineStr">
        <is>
          <t>f8081e52-c7c4-481d-a19f-8f9ef7017a7b.jsonl</t>
        </is>
      </c>
      <c r="G34" t="inlineStr">
        <is>
          <t>已容器化，可一键起环境</t>
        </is>
      </c>
      <c r="H34" t="inlineStr">
        <is>
          <t>Claude Code</t>
        </is>
      </c>
      <c r="I34" t="inlineStr">
        <is>
          <t>2.1.241</t>
        </is>
      </c>
      <c r="J34" t="inlineStr">
        <is>
          <t>MacOS/Linux</t>
        </is>
      </c>
      <c r="K34" t="inlineStr">
        <is>
          <t>feature迭代</t>
        </is>
      </c>
      <c r="L34" t="inlineStr">
        <is>
          <t>中等</t>
        </is>
      </c>
      <c r="M34" t="inlineStr">
        <is>
          <t>TypeScript, React, Hono, Prisma, tRPC</t>
        </is>
      </c>
      <c r="N34">
        <v>4</v>
      </c>
      <c r="O34" t="inlineStr">
        <is>
          <t>已经把功能做到了数据库、接口、签署门禁、编辑器和发送方查看页，扣分点在于模型仅做静态类型校验,未跑 npm run build / E2E / 实际数据库 migrate 验证运行时行为;迁移 SQL 已生成但未执行,prisma generate 后的 client 类型仅靠 tsc 间接验证。</t>
        </is>
      </c>
      <c r="P34">
        <v>5</v>
      </c>
      <c r="Q34" t="inlineStr">
        <is>
          <t>前期明确表示不会重复其他探索工作，并选择等待结果，后续也沿着已有工作推进，没有明显偏离题目边界，未擅自改技术栈,未改禁止文件,遵循了 AGENTS.md 的 tRPC 路由命名/拆分约定。</t>
        </is>
      </c>
      <c r="R34">
        <v>5</v>
      </c>
      <c r="S34" t="inlineStr">
        <is>
          <t>模型在一开始就把任务拆成多个探索模块，同时覆盖数据模型、签署流、存储、审计和权限，并说明会用并行 agent 推进。后续也按“先探索，再验证，再格式化”的流程进行，最后才进行总检。整个节奏和任务执行都比较清晰。</t>
        </is>
      </c>
      <c r="T34">
        <v>4</v>
      </c>
      <c r="U34" t="inlineStr">
        <is>
          <t>模型能比较准确地识别代码，并从“Document”/“Envelope”模型切换、签署门禁、文件上传、审计记录等方面去创建功能，新功能的代码推理也比较正确。扣分点在于模型将RecipientUploadRequirement 的 order 字段加进数据模型了，但目前前端和后端都没有提供任何排序或重排的界面操作，这个字段实际上用不起来，相当于多做了冗余的推理。另外代码实现过程中，好几个文件是写完又立刻重写的。比如 find-recipient-uploads-by-token.ts，还有 reconcile-requirements.ts 连续写了两遍，存在反复调整的情况。</t>
        </is>
      </c>
      <c r="V34">
        <v>4</v>
      </c>
      <c r="W34" t="inlineStr">
        <is>
          <t>工具调用覆盖19个新增文件和16个修改文件，Agent并行探索、阶段tsc验证、Biome批量格式化这些批处理用法基本合理。整个过程中还存在一些冗余调用，比如：document-signing-page-view-v2.tsx被读了4次、改了4次，中间穿插grep来回定位。</t>
        </is>
      </c>
      <c r="X34"/>
      <c r="Y34" t="inlineStr">
        <is>
          <t>向雨佳</t>
        </is>
      </c>
      <c r="Z34" s="3">
        <v>46273</v>
      </c>
      <c r="AA34" t="inlineStr">
        <is>
          <t>通过</t>
        </is>
      </c>
      <c r="AB34"/>
      <c r="AC34"/>
      <c r="AD34"/>
    </row>
    <row r="35" ht="25.5" customHeight="1">
      <c r="A35" t="inlineStr">
        <is>
          <t>这个无线频谱三角定位系统现在运行定位后会同时生成原估计和离群候选，但分析人员无法对候选下结论，案例也能在候选未处理时直接提交复核。请增加定位复核决策：候选生成后，分析人员可以选择采用候选并排除离群观测，或保留原估计并填写原因；决策必须不可覆盖、写入审计，只有已做决策的定位才能让案例提交复核。沿用现有事务、乐观锁和权限规则，保留原有定位和案例流程。补充后端测试，运行后端全量测试和前端构建，说明结果。不要改无关页面，不要提交或推送代码。</t>
        </is>
      </c>
      <c r="B35" t="inlineStr">
        <is>
          <t>c60d4e10-cbe3-4825-a595-eca5578608b4</t>
        </is>
      </c>
      <c r="C35" t="inlineStr">
        <is>
          <t>5e9f3f6d-e574-4030-86fa-0349aabe2f14</t>
        </is>
      </c>
      <c r="D35" t="inlineStr">
        <is>
          <t>第一轮</t>
        </is>
      </c>
      <c r="E35" s="2" t="str">
        <f>=HYPERLINK("https://github.com/tiezhu996/spectrum-interference-triangulation-solo/commit/ebcd6b39cd6eb3b852a7a4e3d9c84affc259d50a", "https://github.com/tiezhu996/spectrum-interference-triangulation-solo/commit/ebcd6b39cd6eb3b852a7a4e3d9c84affc259d50a")</f>
        <v>https://github.com/tiezhu996/spectrum-interference-triangulation-solo/commit/ebcd6b39cd6eb3b852a7a4e3d9c84affc259d50a</v>
      </c>
      <c r="F35" t="inlineStr">
        <is>
          <t>c60d4e10-cbe3-4825-a595-eca5578608b4.jsonl</t>
        </is>
      </c>
      <c r="G35" t="inlineStr">
        <is>
          <t>已容器化，可一键起环境</t>
        </is>
      </c>
      <c r="H35" t="inlineStr">
        <is>
          <t>Claude Code</t>
        </is>
      </c>
      <c r="I35" t="inlineStr">
        <is>
          <t>2.1.263</t>
        </is>
      </c>
      <c r="J35" t="inlineStr">
        <is>
          <t>MacOS/Linux</t>
        </is>
      </c>
      <c r="K35" t="inlineStr">
        <is>
          <t>feature迭代</t>
        </is>
      </c>
      <c r="L35" t="inlineStr">
        <is>
          <t>困难</t>
        </is>
      </c>
      <c r="M35" t="inlineStr">
        <is>
          <t>Go, Gin, React 18, TypeScript, Vite, PostgreSQL, SQLite</t>
        </is>
      </c>
      <c r="N35">
        <v>5</v>
      </c>
      <c r="O35" t="inlineStr">
        <is>
          <t>新增定位复核决策：adopt_candidate 同事务排除离群观测并记审计，keep_original 需≥6字原因，决策不可覆盖，提交复核被 ESTIMATE_DECISION_PENDING 拦截，后端 8 个新测试、go build/vet/test、前端构建均通过，HTTP 冒烟全链路通过。前端交互通过构建与代码接线核对，未做真实浏览器点击。</t>
        </is>
      </c>
      <c r="P35">
        <v>5</v>
      </c>
      <c r="Q35" t="inlineStr">
        <is>
          <t>改动没有提交也没有推送，都留在工作区里，范围只限决策流程和说明文档，没碰无关页面。事务、乐观锁和角色权限这些原有机制照旧沿用，按要求补了后端测试，后端全量测试和前端构建也都跑过了。</t>
        </is>
      </c>
      <c r="R35">
        <v>4</v>
      </c>
      <c r="S35" t="inlineStr">
        <is>
          <t>工作按阶段推进，先后端模型到路由各层代码，再补后端测试，然后是前端页面和接口对接，最后更新说明文档并跑冒烟自测。验收清单没有单独写成文档，这一项扣了一分。</t>
        </is>
      </c>
      <c r="T35">
        <v>5</v>
      </c>
      <c r="U35" t="inlineStr">
        <is>
          <t>修复后评审决策只落在原始估计上而不是候选上，采用候选时在同一个事务里排除离群观测，已有决策通过条件更新防止被覆盖，还有候选没决策就不能提交复核。无候选，直接决策候选，观测不属于案例，案例已关闭，重复决策这些边界场景也都覆盖到了。</t>
        </is>
      </c>
      <c r="V35">
        <v>4</v>
      </c>
      <c r="W35" t="inlineStr">
        <is>
          <t>149 次工具调用，76 次 Read 覆盖 46 个唯一文件（30 次重复读）。3 次工具错误（读目录、读参数错误、冒烟脚本未重取版本号导致 KeyError）后均修正并复跑通过；gofmt 发现新测试文件未格式化后 gofmt -w 修正。</t>
        </is>
      </c>
      <c r="X35"/>
      <c r="Y35" t="inlineStr">
        <is>
          <t>刘东</t>
        </is>
      </c>
      <c r="Z35" s="3">
        <v>46273</v>
      </c>
      <c r="AA35" t="inlineStr">
        <is>
          <t>通过</t>
        </is>
      </c>
      <c r="AB35"/>
      <c r="AC35"/>
      <c r="AD35"/>
    </row>
    <row r="36" ht="25.5" customHeight="1">
      <c r="A36" t="inlineStr">
        <is>
          <t>复核决策有一个bug：案例被复核员退回分析后，旧决策仍被当作已决策，分析员不跑新定位、不做新决策也能直接再次提交复核，退回形同虚设。请修复：退回后，旧定位决策不能再满足提交复核条件，必须在本轮退回之后重新运行定位并完成新的复核决策，才能再次提交复核；旧决策记录仍不可覆盖并保留审计。沿用现有事务、乐观锁和权限规则，保留原有定位与决策流程。补充后端测试覆盖退回后无新决策被拦截、新一轮定位并决策后可提交；运行后端全量测试和前端构建并说明结果。不要改无关页面，不要提交或推送代码。</t>
        </is>
      </c>
      <c r="B36" t="inlineStr">
        <is>
          <t>c60d4e10-cbe3-4825-a595-eca5578608b4</t>
        </is>
      </c>
      <c r="C36" t="inlineStr">
        <is>
          <t>d9246fb3-7470-4979-b1ea-e43ea99aa73a</t>
        </is>
      </c>
      <c r="D36" t="inlineStr">
        <is>
          <t>第二轮</t>
        </is>
      </c>
      <c r="E36" s="2" t="str">
        <f>=HYPERLINK("https://github.com/tiezhu996/spectrum-interference-triangulation-solo/commit/ebcd6b39cd6eb3b852a7a4e3d9c84affc259d50a", "https://github.com/tiezhu996/spectrum-interference-triangulation-solo/commit/ebcd6b39cd6eb3b852a7a4e3d9c84affc259d50a")</f>
        <v>https://github.com/tiezhu996/spectrum-interference-triangulation-solo/commit/ebcd6b39cd6eb3b852a7a4e3d9c84affc259d50a</v>
      </c>
      <c r="F36" t="inlineStr">
        <is>
          <t>c60d4e10-cbe3-4825-a595-eca5578608b4.jsonl</t>
        </is>
      </c>
      <c r="G36" t="inlineStr">
        <is>
          <t>已容器化，可一键起环境</t>
        </is>
      </c>
      <c r="H36" t="inlineStr">
        <is>
          <t>Claude Code</t>
        </is>
      </c>
      <c r="I36" t="inlineStr">
        <is>
          <t>2.1.263</t>
        </is>
      </c>
      <c r="J36" t="inlineStr">
        <is>
          <t>MacOS/Linux</t>
        </is>
      </c>
      <c r="K36" t="inlineStr">
        <is>
          <t>Bug修复</t>
        </is>
      </c>
      <c r="L36" t="inlineStr">
        <is>
          <t>困难</t>
        </is>
      </c>
      <c r="M36" t="inlineStr">
        <is>
          <t>Go, Gin, React 18, TypeScript, Vite, PostgreSQL, SQLite</t>
        </is>
      </c>
      <c r="N36">
        <v>5</v>
      </c>
      <c r="O36" t="inlineStr">
        <is>
          <t>引入 review_round：驳回时在事务内递增轮次，定位结果打轮次标记，提交复核门禁改为当前轮次至少 1 次定位且无未决策候选。go build/vet/test 通过（新增 2 个驳回测试），前端构建通过；HTTP 冒烟确认驳回后无新定位提交 409、新定位未决策 409、新定位并决策后 200。</t>
        </is>
      </c>
      <c r="P36">
        <v>5</v>
      </c>
      <c r="Q36" t="inlineStr">
        <is>
          <t>没提交没推送，也没动不相干的页面，事务、乐观锁和权限规则原样沿用，旧决策不可覆盖和审计记录都保留着。按提示词要求补齐了后端测试，全量测试和前端构建也都运行了。</t>
        </is>
      </c>
      <c r="R36">
        <v>4</v>
      </c>
      <c r="S36" t="inlineStr">
        <is>
          <t>先定位根因（旧决策跨轮次仍有效），再让 review_round 贯穿模型/仓库/服务/dto/前端与测试分阶段推进。未见独立成文的验收清单。</t>
        </is>
      </c>
      <c r="T36">
        <v>5</v>
      </c>
      <c r="U36" t="inlineStr">
        <is>
          <t>驳回重新评审没有用清空旧决策的办法，而是改成按轮次计数区分新旧决策，旧决策保持不可覆盖。轮次只统计父记录为空的主记录，待决策数量按轮次过滤，驳回时轮次递增和乐观锁版本更新放在同一个事务里，保留原估计与采用候选两条路径都有测试覆盖。</t>
        </is>
      </c>
      <c r="V36">
        <v>5</v>
      </c>
      <c r="W36" t="inlineStr">
        <is>
          <t>50 次工具调用，8 次 Read 覆盖 7 个唯一文件（1 次重复），25 次 Edit、16 次 Bash。2 次工具错误（curl 连接失败、首版冒烟脚本失败）后均修正并复跑通过，验证真实。</t>
        </is>
      </c>
      <c r="X36"/>
      <c r="Y36" t="inlineStr">
        <is>
          <t>刘东</t>
        </is>
      </c>
      <c r="Z36" s="3">
        <v>46273</v>
      </c>
      <c r="AA36" t="inlineStr">
        <is>
          <t>通过</t>
        </is>
      </c>
      <c r="AB36"/>
      <c r="AC36"/>
      <c r="AD36"/>
    </row>
    <row r="37" ht="25.5" customHeight="1">
      <c r="A37" t="inlineStr">
        <is>
          <t>请用 TypeScript 在现有 Excalidraw 前端里实现一个本地快照托盘。用户可以把当前画布保存成命名快照，系统自动记录缩略图、创建时间、当前缩放和视图状态，以及选中元素数量；在侧边栏里可以重命名、调整顺序、删除、恢复和再次覆盖保存。恢复快照时要把画布内容与视图状态一起还原，且快照数据只保存在本地，不影响协作链接、导出、库面板和撤销/重做流程。</t>
        </is>
      </c>
      <c r="B37" t="inlineStr">
        <is>
          <t>f3eefa34-fd21-4e02-ba3d-c15783d8700b</t>
        </is>
      </c>
      <c r="C37" t="inlineStr">
        <is>
          <t>8b2be4ff-55d7-48bc-a9a5-b20a4e8d8e2a</t>
        </is>
      </c>
      <c r="D37" t="inlineStr">
        <is>
          <t>第一轮</t>
        </is>
      </c>
      <c r="E37" s="2" t="str">
        <f>=HYPERLINK("https://github.com/Xiang1218-Yu/excalidraw/commit/0361bdd9cb832450f1232dd28931199a73b64b1d", "https://github.com/Xiang1218-Yu/excalidraw/commit/0361bdd9cb832450f1232dd28931199a73b64b1d")</f>
        <v>https://github.com/Xiang1218-Yu/excalidraw/commit/0361bdd9cb832450f1232dd28931199a73b64b1d</v>
      </c>
      <c r="F37" t="inlineStr">
        <is>
          <t>f3eefa34-fd21-4e02-ba3d-c15783d8700b.jsonl</t>
        </is>
      </c>
      <c r="G37" t="inlineStr">
        <is>
          <t>已容器化，可一键起环境</t>
        </is>
      </c>
      <c r="H37" t="inlineStr">
        <is>
          <t>Claude Code</t>
        </is>
      </c>
      <c r="I37" t="inlineStr">
        <is>
          <t>2.1.241</t>
        </is>
      </c>
      <c r="J37" t="inlineStr">
        <is>
          <t>MacOS/Linux</t>
        </is>
      </c>
      <c r="K37" t="inlineStr">
        <is>
          <t>feature迭代</t>
        </is>
      </c>
      <c r="L37" t="inlineStr">
        <is>
          <t>困难</t>
        </is>
      </c>
      <c r="M37" t="inlineStr">
        <is>
          <t>TypeScript, React, SCSS, IndexedDB (idb-keyval), Excalidraw</t>
        </is>
      </c>
      <c r="N37">
        <v>5</v>
      </c>
      <c r="O37" t="inlineStr">
        <is>
          <t>主需求已落实：新增了本地快照托盘、保存/恢复/重命名/排序/删除/覆盖保存、缩略图、时间、选中数、元素数、视图状态，并且接入了 App.tsx 和本地存储层。另外tsc 退出 0（0 errors）、eslint 0 warnings、sass 编译通过、en.json 解析有效（snapshots 命名空间 24 个 key）。模型还主动补全了隐性需求：图片文件内嵌进快照以防 scene file cache 被 GC 后无法还原、恢复时保留用户当前 UI 主题（只还原画布背景色）。</t>
        </is>
      </c>
      <c r="P37">
        <v>5</v>
      </c>
      <c r="Q37" t="inlineStr">
        <is>
          <t>模型遵循了prompt 提到的约束，并且在编辑代码的时候没有涉及collab、Firebase、onExport或库面板适配器，同时没有修改禁止文件、擅自更换技术栈等越界行为。</t>
        </is>
      </c>
      <c r="R37">
        <v>5</v>
      </c>
      <c r="S37" t="inlineStr">
        <is>
          <t>先做了代码结构和 API 探索，再落实现，再做类型、lint、JSON、SCSS 校验，顺序很稳。并且先确认了 serializeAsJSON(..., "local") 不会保留 zoom/scroll，再单独存视图状态，这说明拆解是对题目关键点下手的。</t>
        </is>
      </c>
      <c r="T37">
        <v>5</v>
      </c>
      <c r="U37" t="inlineStr">
        <is>
          <t>模型能通过通过读json.ts发现serializeAsJSON走local模式会剥离zoom和scroll，所以单独存了view对象，并根据App.tsx发现updateScene不接受files参数，改用addFiles注册图片；同时还识别到撤销栈跨场景会损坏状态，恢复时采用载入文档方式加history.clear，不做成可撤销操作；图片file cache可能被GC，所以把files内嵌进快照JSON；恢复快照时不翻转用户主题，只还原画布背景色，同时所有API使用前都验证过签名。</t>
        </is>
      </c>
      <c r="V37">
        <v>4</v>
      </c>
      <c r="W37" t="inlineStr">
        <is>
          <t>模型使用三个Explore子agent并行启动，多次Read批量并行，写代码前先用Bash grep验证所有API签名与导出路径，不过在围绕import/order一条规则反复修了4次，先把SCSS import提到type import之前，规则又说要之后，来回调了多次，4次eslint调用只为了修一条warning，属于少量冗余调用。</t>
        </is>
      </c>
      <c r="X37" t="inlineStr">
        <is>
          <t>模型使用了其他三个子代理处理代码，但是并没有在主轨迹汇总和总结内容。</t>
        </is>
      </c>
      <c r="Y37" t="inlineStr">
        <is>
          <t>向雨佳</t>
        </is>
      </c>
      <c r="Z37" s="3">
        <v>46273</v>
      </c>
      <c r="AA37" t="inlineStr">
        <is>
          <t>通过</t>
        </is>
      </c>
      <c r="AB37"/>
      <c r="AC37"/>
      <c r="AD37"/>
    </row>
    <row r="38" ht="25.5" customHeight="1">
      <c r="A38" t="inlineStr">
        <is>
          <t>我想在现有 Signal Commons Studio 里新增一个发布档案（Release Archive）功能模块。团队从质量台发布研究快照后，目前只能下载 JSON，无法在本机回顾历史版本或对比不同发布，所以我想加一个只存浏览器本地的快照档案页面。
请保持现有录音库、聆听路线、质量台、场景实验室四个页面和核心规则不变。质量台通过 readiness check 并导出 JSON snapshot 时，把该次发布自动存入档案；未通过时不要产生档案记录。档案页加入侧边栏导航，列表按发布时间倒序展示每次发布：研究标题、导出日期、readiness score、录音数、站点数、路线总时长、未解决 finding 数，并支持再次下载原始 JSON。点击一个档案可以回看那次快照的站点顺序、每站录音以及当时仍未解决的 finding；查看旧档案不能读取当前正在编辑的路线状态，必须使用快照自身保存的数据。列表还支持选择两个档案做对比，突出录音数、总时长、readiness score、未解决 finding 等差异；删除档案前需要确认。所有数据继续使用浏览器本地存储，页面刷新后仍保留。
请沿用项目现有的 React + TypeScript 结构、领域规则、状态命令和本地持久化方式实现。先完成可用的主流程，再补空态、删除确认和本地存储异常提示。</t>
        </is>
      </c>
      <c r="B38" t="inlineStr">
        <is>
          <t>04c8962e-1c17-4532-954b-1723bfb1861e</t>
        </is>
      </c>
      <c r="C38" t="inlineStr">
        <is>
          <t>9ae51c34-90ff-4039-9aa9-900cc054e2b4</t>
        </is>
      </c>
      <c r="D38" t="inlineStr">
        <is>
          <t>第一轮</t>
        </is>
      </c>
      <c r="E38" s="2" t="str">
        <f>=HYPERLINK("https://github.com/3037705347-21/signal-commons-studio/commit/7115dac957aad5427e9d7d5c005e60a6c6525a11", "https://github.com/3037705347-21/signal-commons-studio/commit/7115dac957aad5427e9d7d5c005e60a6c6525a11")</f>
        <v>https://github.com/3037705347-21/signal-commons-studio/commit/7115dac957aad5427e9d7d5c005e60a6c6525a11</v>
      </c>
      <c r="F38" t="inlineStr">
        <is>
          <t>04c8962e-1c17-4532-954b-1723bfb1861e.jsonl</t>
        </is>
      </c>
      <c r="G38" t="inlineStr">
        <is>
          <t>无外部依赖</t>
        </is>
      </c>
      <c r="H38" t="inlineStr">
        <is>
          <t>Claude Code</t>
        </is>
      </c>
      <c r="I38" t="inlineStr">
        <is>
          <t>2.1.241</t>
        </is>
      </c>
      <c r="J38" t="inlineStr">
        <is>
          <t>MacOS/Linux</t>
        </is>
      </c>
      <c r="K38" t="inlineStr">
        <is>
          <t>0-1代码生成</t>
        </is>
      </c>
      <c r="L38" t="inlineStr">
        <is>
          <t>困难</t>
        </is>
      </c>
      <c r="M38" t="inlineStr">
        <is>
          <t>TypeScript, React, Vite</t>
        </is>
      </c>
      <c r="N38">
        <v>5</v>
      </c>
      <c r="O38" t="inlineStr">
        <is>
          <t>产物已完成，质量台 readiness 通过后导出 JSON 会写入 signal-commons.archive.v1，/archive 列表、快照详情、双版本对比、JSON 重新下载和删除确认均落地；npm run check 通过，8 个 Vitest 文件 21 条测试与 9 条 Playwright 测试全部通过。</t>
        </is>
      </c>
      <c r="P38">
        <v>5</v>
      </c>
      <c r="Q38" t="inlineStr">
        <is>
          <t>Prompt 要求保留现有四个页面、readiness 未通过不建档、旧快照详情不得读取当前编辑中的路线、数据仅存浏览器本地；产物均遵守，createSnapshot() 未通过时先返回错误而不写 archive，详情页使用 snapshot 自身保存的站点与 finding。</t>
        </is>
      </c>
      <c r="R38">
        <v>4</v>
      </c>
      <c r="S38" t="inlineStr">
        <is>
          <t xml:space="preserve"> 模型先阅读项目规范、领域模型、状态与持久化代码，再按 domain、state/persistence、路由与侧边栏、ArchivePage、测试的顺序实施，阶段性说明和最终全量验证都在；整体拆解清晰，但是在收尾时缺少对 prompt 各验收点的逐项清单式复核。</t>
        </is>
      </c>
      <c r="T38">
        <v>5</v>
      </c>
      <c r="U38" t="inlineStr">
        <is>
          <t>档案记录直接包住完整 Snapshot，用生成时间决定倒序，排序、统计和差异计算都做成纯函数，页面只消费快照数据。这个设计让“旧发布不受当前编辑影响”在结构上成立，详情页不需要和工作区状态耦合；实现过程中也没有出现需要推翻主方案的方向调整。</t>
        </is>
      </c>
      <c r="V38">
        <v>3</v>
      </c>
      <c r="W38" t="inlineStr">
        <is>
          <t>模型累计 48 次 Read、28 次 Edit，多个文件被重复读取 2-3 次，ArchivePage 被编辑 8 次、StudyContext 被编辑 7 次；另有一次 Edit 因待替换片段不匹配报错后恢复，样式通过多次 Bash 追加完成，工具调用存在明显冗余，但是最终产物正确。</t>
        </is>
      </c>
      <c r="X38"/>
      <c r="Y38" t="inlineStr">
        <is>
          <t>刘睿</t>
        </is>
      </c>
      <c r="Z38" s="3">
        <v>46273</v>
      </c>
      <c r="AA38" t="inlineStr">
        <is>
          <t>通过</t>
        </is>
      </c>
      <c r="AB38"/>
      <c r="AC38"/>
      <c r="AD38"/>
    </row>
    <row r="39" ht="25.5" customHeight="1">
      <c r="A39" t="inlineStr">
        <is>
          <t>我在用这个运动管理系统，前端 Vue、后端 Spring Boot，能登录后记运动、设目标。最近发现目标这块不对劲：我设了个累计消耗 3000 卡的目标，绑定到本周，我按运动记录逐步打卡，等累计消耗正好到 3000 时，目标还是显示“进行中”，必须超过 3000 才变成“已完成”；而且一旦过了目标结束日期，哪怕我已经达标也会显示“已失败”。我感觉目标状态判定、以及进度是不是只统计目标时间段内的运动，这两块都可能有问题。你帮我把目标功能查清楚、修对，别改坏别的功能。</t>
        </is>
      </c>
      <c r="B39" t="inlineStr">
        <is>
          <t>66a469e0-f333-47a4-a552-b2c989b8f6ae</t>
        </is>
      </c>
      <c r="C39" t="inlineStr">
        <is>
          <t>3546a1a4-cb22-4896-bbb0-186bd6130875</t>
        </is>
      </c>
      <c r="D39" t="inlineStr">
        <is>
          <t>第一轮</t>
        </is>
      </c>
      <c r="E39" s="2" t="str">
        <f>=HYPERLINK("https://github.com/qianmo317/claudccode-solocc-0003/commit/ee90ca9a2b694b61f3ec44bc89eac673f808fcfe", "https://github.com/qianmo317/claudccode-solocc-0003/commit/ee90ca9a2b694b61f3ec44bc89eac673f808fcfe")</f>
        <v>https://github.com/qianmo317/claudccode-solocc-0003/commit/ee90ca9a2b694b61f3ec44bc89eac673f808fcfe</v>
      </c>
      <c r="F39" t="inlineStr">
        <is>
          <t>solocc-0003-trajectory.jsonl</t>
        </is>
      </c>
      <c r="G39" t="inlineStr">
        <is>
          <t>已容器化，可一键起环境</t>
        </is>
      </c>
      <c r="H39" t="inlineStr">
        <is>
          <t>Claude Code</t>
        </is>
      </c>
      <c r="I39" t="inlineStr">
        <is>
          <t>2.1.263</t>
        </is>
      </c>
      <c r="J39" t="inlineStr">
        <is>
          <t>MacOS/Linux</t>
        </is>
      </c>
      <c r="K39" t="inlineStr">
        <is>
          <t>Bug修复</t>
        </is>
      </c>
      <c r="L39" t="inlineStr">
        <is>
          <t>困难</t>
        </is>
      </c>
      <c r="M39" t="inlineStr">
        <is>
          <t>Java, Spring Boot, JPA, MySQL, Vue 3</t>
        </is>
      </c>
      <c r="N39">
        <v>4</v>
      </c>
      <c r="O39" t="inlineStr">
        <is>
          <t>根因修对了。GoalService.updateGoalProgress 里，完成判定由严格大于改成了大于等于，还补了个 else 分支，把进行中状态显式写出来。改动只有一处文件，是最小化改法，符合“别改坏别的功能”。后端编译通过，COMPILE OK。给 4 分，是因为只做了逻辑核对加编译验证，没有把整套 Spring Boot 加数据库跑起来做端到端的行为验证，确认状态是不是真的按要求切换。</t>
        </is>
      </c>
      <c r="P39">
        <v>5</v>
      </c>
      <c r="Q39" t="inlineStr">
        <is>
          <t>按要求把目标状态修对了。只动了 GoalService 一处，前端、统计接口、依赖均未改动，其它功能保持不变。没有越界改动。</t>
        </is>
      </c>
      <c r="R39">
        <v>3</v>
      </c>
      <c r="S39" t="inlineStr">
        <is>
          <t>先定位目标相关代码，backend 的 GoalService、Controller、仓库，还有 frontend 的目标视图。顺着 updateGoalProgress 的状态流转找到完成判定，给出了清晰的根因并修复，编译验证也过了。整体是一次到位的定位加修复，没有拆成多个带进度回报的子阶段，也没有显式状态跟踪。所以给 3 分。</t>
        </is>
      </c>
      <c r="T39">
        <v>5</v>
      </c>
      <c r="U39" t="inlineStr">
        <is>
          <t>判断很准。直接指出完成判定用了严格大于，currentValue&gt;targetValue 是边界错误，正好等于目标值时不标完成。还顺带发现进行中状态没显式化，补了 else ACTIVE。同时核对了进度是不是只统计目标日期区间，确认 exerciseDate 的 BETWEEN 起止是对的。一步到位。</t>
        </is>
      </c>
      <c r="V39">
        <v>4</v>
      </c>
      <c r="W39" t="inlineStr">
        <is>
          <t>大概 66 条 assistant、35 次工具调用。先用 find、grep 定位目标逻辑，再用 javac、mvn 反复尝试编译。因为本机 lombok 和 JDK 版本的问题扎了多次，最后才 COMPILE OK。定位本身不拖沓，但编译环境调试占了不少调用，还能精简。</t>
        </is>
      </c>
      <c r="X39"/>
      <c r="Y39" t="inlineStr">
        <is>
          <t>帅园椿</t>
        </is>
      </c>
      <c r="Z39" s="3">
        <v>46273</v>
      </c>
      <c r="AA39" t="inlineStr">
        <is>
          <t>通过</t>
        </is>
      </c>
      <c r="AB39"/>
      <c r="AC39"/>
      <c r="AD39"/>
    </row>
    <row r="40" ht="25.5" customHeight="1">
      <c r="A40" t="inlineStr">
        <is>
          <t>这个温湿度监控现在只有设备下拉、近 10 条温湿度折线、底部当前值，和一个假的设备重启确认框，数据也是写死的。想在这个 Vue3 + Element Plus + ECharts 项目上做一批新功能，把它变成一个像样的监控工作台。纯前端、用模拟数据就行，别引后端；保留现在深灰蓝的工业风；手机和 PC 都要显示正常；数据请求要有加载态和错误提示，不能白屏或 console 报错。主要做下面 6 块：
设备概览与实时大屏：每个设备一张卡片（当前温度、湿度、数据更新时间、最近一分钟的变化趋势、运行状态：在线/离线/告警），点卡片进设备详情；再放一张图看所有设备实时温湿度（每设备一组，温度湿度分双轴），时间范围能切（近 10 分钟、1 小时、24 小时），支持暂停和自动刷新、可设刷新间隔（10 秒、30 秒、60 秒），图表要有十字准星 tooltip、图例可点击隐藏、支持缩放。
历史数据回溯：日期加时间段选某设备某天的完整曲线，支持按分钟、小时、日切聚合粒度；下标出该时段温度、湿度的最大、最小、均值和波动（标准差）。
报警规则与告警：给设备设温度、湿度上下限阈值，规则支持“持续 N 分钟超限才告警”的防抖；规则的增删改、启停；预警历史（时间、设备、规则、触发值、状态：未确认、已确认、已恢复），未确认数做角标、可一键全部确认；模拟数据触发规则时页面顶部弹告警横幅，并尝试浏览器桌面通知（需授权）；告警按严重、警告分级，能按时间、设备筛选。
数据对比：同一张图对比两个设备，或同一设备两个时间区间，温度、湿度各出两组，用多色区分，能快速切换对比对象。
设备管理与统计概览：新增、编辑、删除设备（名称、位置、图标、类型），设备列表带搜索和状态筛选，这些设备信息被上面所有模块引用；顶部一排统计卡（设备总数、在线设备、今日告警数、数据完整率）配一个小趋势图。
数据增强、导出与质量：让模拟数据更真实（温度按设备有昼夜变化曲线、偶发尖峰或异常点用来触发告警、湿度与之相关波动），数据生成逻辑抽成可配置模块，别写死在组件里；当前图表数据按筛选和粒度导出 CSV，图表支持导出 PNG；抽取可复用的图表、统计、格式化工具，统一单位和保留位数；全局 loading 与错误边界；ECharts 与 Element Plus 主题尽量贴合深灰蓝工业风；扩展后没有明显性能问题（大数据量做增量或节流）。
背景：项目是 Vue3 + Vite + Element Plus + ECharts，纯前端模拟数据，不引后端、不要本地装 node。这次是在这个 demo 基础上从零做一批功能模块，尽量开箱即用、结构清晰。</t>
        </is>
      </c>
      <c r="B40" t="inlineStr">
        <is>
          <t>321a1e01-91fb-4723-92a8-e484577bf9b2</t>
        </is>
      </c>
      <c r="C40" t="inlineStr">
        <is>
          <t>05ae4587-fb4e-42af-8a55-51b158f869ba</t>
        </is>
      </c>
      <c r="D40" t="inlineStr">
        <is>
          <t>第一轮</t>
        </is>
      </c>
      <c r="E40" s="2" t="str">
        <f>=HYPERLINK("https://github.com/qianmo317/claudccode-solocc-0004/commit/a1582f16623d6c417cd98607c4a9ecc6594395c4", "https://github.com/qianmo317/claudccode-solocc-0004/commit/a1582f16623d6c417cd98607c4a9ecc6594395c4")</f>
        <v>https://github.com/qianmo317/claudccode-solocc-0004/commit/a1582f16623d6c417cd98607c4a9ecc6594395c4</v>
      </c>
      <c r="F40" t="inlineStr">
        <is>
          <t>solocc-0004-trajectory.jsonl</t>
        </is>
      </c>
      <c r="G40" t="inlineStr">
        <is>
          <t>已容器化，可一键起环境</t>
        </is>
      </c>
      <c r="H40" t="inlineStr">
        <is>
          <t>Claude Code</t>
        </is>
      </c>
      <c r="I40" t="inlineStr">
        <is>
          <t>2.1.263</t>
        </is>
      </c>
      <c r="J40" t="inlineStr">
        <is>
          <t>MacOS/Linux</t>
        </is>
      </c>
      <c r="K40" t="inlineStr">
        <is>
          <t>0-1代码生成</t>
        </is>
      </c>
      <c r="L40" t="inlineStr">
        <is>
          <t>困难</t>
        </is>
      </c>
      <c r="M40" t="inlineStr">
        <is>
          <t>Vue 3, Vite, Element Plus, ECharts</t>
        </is>
      </c>
      <c r="N40">
        <v>4</v>
      </c>
      <c r="O40" t="inlineStr">
        <is>
          <t>六块都做出来了。设备卡片、实时大屏、历史回溯、报警规则与告警、数据对比、设备管理与统计概览、数据增强与导出，一个不缺。代码按 src/mock（可配置的模拟数据和确定性生成器）、src/components（DeviceCard、StatCard、AlarmBanner、RuleFormDialog、Sparkline、BaseChart、DeviceFormDialog、ErrorBoundary）、src/composables（useChart）分了三层。vite build 零错误，预览服务返回 200，lockfile 也更新了。原来那个设备下拉、近 10 条折线、底部当前值都还在。扣 1 分，是只做了构建、预览服务 200 和脚本测试，没有在真实浏览器里验证手机、PC 的响应式显示和交互（是否白屏、console 是否有报错），这部分缺实测证据。</t>
        </is>
      </c>
      <c r="P40">
        <v>4</v>
      </c>
      <c r="Q40" t="inlineStr">
        <is>
          <t>六块都按提示词要求实现。纯前端，数据用模拟，没引后端；深灰蓝工业风、Element Plus、ECharts 都保留了；也加了全局 loading 和 ErrorBoundary。但提示词里“手机和 PC 都要显示正常、不能白屏或 console 报错”这条，轨迹里只做了构建、预览服务 200 和脚本测试，没有真实浏览器验证过响应式显示以及是否白屏、console 是否有报错，属于“实现了但未实测”，扣 1 分。</t>
        </is>
      </c>
      <c r="R40">
        <v>5</v>
      </c>
      <c r="S40" t="inlineStr">
        <is>
          <t>动手前先看结构，再用 TaskCreate 建任务清单、TaskUpdate 持续更新进度，本轮 5 次创建、10 次更新，六块逐个推进，每完成一块都更新状态并跑 npm install、vite build、生成器测试验证，最终六块全部落地。拆解清晰、计划持续维护、进度连续更新，规划与状态管理到位。</t>
        </is>
      </c>
      <c r="T40">
        <v>5</v>
      </c>
      <c r="U40" t="inlineStr">
        <is>
          <t>模拟数据用确定性伪随机生成，温度按昼夜的正弦曲线走，湿度和温度做负相关耦合，另外加了尖峰和异常点，用来触发告警。报警规则的防抖逻辑是持续 N 分钟超限才告警。历史回溯把温度、湿度的最大、最小、均值和标准差都算了。图表抽成 BaseChart 和 useChart 复用，CSV 和 PNG 导出也都做了。</t>
        </is>
      </c>
      <c r="V40">
        <v>4</v>
      </c>
      <c r="W40" t="inlineStr">
        <is>
          <t>改动量不小：单文件 demo 重构成六块，新增 8 个组件、1 个 composable、一层 mock 数据，并把 vite build、预览服务、生成器测试跑通了。整个过程约 320 条 assistant、135 次工具调用。期间多次 npm 调用因自动模式分类器超时未即时生效，属环境/分类器问题，非模型操作失误；整体调用量偏大，其中不少是验证与构建确认所需，仍有少量可合并精简处。</t>
        </is>
      </c>
      <c r="X40" t="inlineStr">
        <is>
          <t>没有。这次是练习交付，没出现别的异常。</t>
        </is>
      </c>
      <c r="Y40" t="inlineStr">
        <is>
          <t>帅先伟</t>
        </is>
      </c>
      <c r="Z40" s="3">
        <v>46273</v>
      </c>
      <c r="AA40" t="inlineStr">
        <is>
          <t>通过</t>
        </is>
      </c>
      <c r="AB40"/>
      <c r="AC40"/>
      <c r="AD40"/>
    </row>
    <row r="41" ht="25.5" customHeight="1">
      <c r="A41" t="inlineStr">
        <is>
          <t>开渔后高铁站安检人员经常要在很短时间内判断旅客携带的鱼、虾、蟹、贝是否符合乘车条件，仓库已经提供旅客类型与重量上限、允许品类、包装要求等规则夹具，一份申报 JSON Schema、典型申报样例和只能校验这些初始文件的 Docker Compose scaffold；请在这个空白业务基础上完成一个 Python 3.12 纯后台 HTTP 服务，接收包含旅客信息和多件物品的携带申报，逐项核验品类、用途、重量以及箱体是否密封、无漏水和无异味，并综合行李总重给出 accepted、needs_repack 或 rejected 结论，响应需保留原物品顺序、返回稳定的原因码和可操作说明，同时提供当前规则查询与健康检查接口；缺字段、数值越界、未知品类或不一致的包装信息必须得到结构化错误，规则应从仓库夹具加载而不是散落硬编码，任何测试都不得访问铁路或物流外部服务；最后补齐应用 Dockerfile 和 Compose 服务，并提供可执行的容器自测入口，在重新构建镜像后通过真实 HTTP 请求验证合规申报、超重、包装不合格、非法输入和规则查询。</t>
        </is>
      </c>
      <c r="B41" t="inlineStr">
        <is>
          <t>ce3b77d0-24b9-44d6-98ef-2a0525a864cc</t>
        </is>
      </c>
      <c r="C41" t="inlineStr">
        <is>
          <t>8c324ec1-b73b-42fb-891f-e14aa317b2c8</t>
        </is>
      </c>
      <c r="D41" t="inlineStr">
        <is>
          <t>第一轮</t>
        </is>
      </c>
      <c r="E41" s="2" t="str">
        <f>=HYPERLINK("https://github.com/VanceMichael/usr-0908-rail-seafood-scaffold/commit/139398eaf68468cf1a6c713a1fcd398ea0a9bbfe", "https://github.com/VanceMichael/usr-0908-rail-seafood-scaffold/commit/139398eaf68468cf1a6c713a1fcd398ea0a9bbfe")</f>
        <v>https://github.com/VanceMichael/usr-0908-rail-seafood-scaffold/commit/139398eaf68468cf1a6c713a1fcd398ea0a9bbfe</v>
      </c>
      <c r="F41" t="inlineStr">
        <is>
          <t>轨迹_0908_第1题_ce3b77d0-24b9-44d6-98ef-2a0525a864cc.jsonl</t>
        </is>
      </c>
      <c r="G41" t="inlineStr">
        <is>
          <t>已容器化，可一键起环境</t>
        </is>
      </c>
      <c r="H41" t="inlineStr">
        <is>
          <t>Claude Code</t>
        </is>
      </c>
      <c r="I41" t="inlineStr">
        <is>
          <t>2.1.263</t>
        </is>
      </c>
      <c r="J41" t="inlineStr">
        <is>
          <t>MacOS/Linux</t>
        </is>
      </c>
      <c r="K41" t="inlineStr">
        <is>
          <t>0-1 代码生成</t>
        </is>
      </c>
      <c r="L41" t="inlineStr">
        <is>
          <t>中等</t>
        </is>
      </c>
      <c r="M41" t="inlineStr">
        <is>
          <t>Python 3.12, HTTP, JSON Schema, Docker Compose</t>
        </is>
      </c>
      <c r="N41">
        <v>4</v>
      </c>
      <c r="O41" t="inlineStr">
        <is>
          <t>服务、规则查询、健康检查和容器自测均已交付，15 个单元测试及 7/7 HTTP 自测通过，原 scaffold 校验也返回成功。实现范围覆盖了题目要求的主要路径，但 assessment.py 仍把原因码到决策和中文说明的映射写死在 _REASON_META 中；如果 policies.json 调整原因说明或决策，运行时不会随夹具同步，属于可运行交付中的配置化遗漏。</t>
        </is>
      </c>
      <c r="P41">
        <v>3</v>
      </c>
      <c r="Q41" t="inlineStr">
        <is>
          <t>题目明确要求规则从仓库夹具加载而不是散落硬编码。policy.py 确实读取 policies.json，但 assessment.py 的 _REASON_META 直接定义了全部原因码、决策等级和操作说明，且 _REASON_META 才是实际判定来源；这使得修改夹具不能完整改变业务行为，未完全遵守配置驱动约束。</t>
        </is>
      </c>
      <c r="R41">
        <v>4</v>
      </c>
      <c r="S41" t="inlineStr">
        <is>
          <t>模型先检查 Python、Docker 和 scaffold 内容，再用 4 个任务状态依次组织规则加载、判定引擎、测试和容器接线，阶段切换都有 TaskUpdate，最后补做原 scaffold 验证。阶段划分覆盖了交付面，但没有在计划中单独识别‘原因元数据也必须来自夹具’这一约束，导致实现时留下硬编码映射。</t>
        </is>
      </c>
      <c r="T41">
        <v>4</v>
      </c>
      <c r="U41" t="inlineStr">
        <is>
          <t>对 JSON Schema 边界、包装交叉校验、逐项严重度合并和总重量判定的推理与实现相互吻合，测试还覆盖了子额度、边界重量、重复 item_id 和包装矛盾。它把原因码校验理解为‘代码使用的字符串来自 policies’，却没有继续推导出决策和操作文案也应由同一夹具驱动，因此配置变更场景仍不完整。</t>
        </is>
      </c>
      <c r="V41">
        <v>4</v>
      </c>
      <c r="W41" t="inlineStr">
        <is>
          <t>主要文件按读取后创建，单测、Docker 构建、7 项真实 HTTP 自测和 scaffold 校验均执行成功。过程中只有一次 README Edit 因传入了错误参数 oldstring 而失败，下一次调用立即改正；没有重复盲目重试或遗留未验证的核心步骤。</t>
        </is>
      </c>
      <c r="X41"/>
      <c r="Y41" t="inlineStr">
        <is>
          <t>高勇前端</t>
        </is>
      </c>
      <c r="Z41" s="3">
        <v>46273</v>
      </c>
      <c r="AA41" t="inlineStr">
        <is>
          <t>通过</t>
        </is>
      </c>
      <c r="AB41"/>
      <c r="AC41"/>
      <c r="AD41"/>
    </row>
    <row r="42" ht="25.5" customHeight="1">
      <c r="A42" t="inlineStr">
        <is>
          <t>楼房猪舍把园区、楼舍、楼层、单元和圈栏分成多级安全区后，值守人员需要把通风、温湿度、氨气和咳嗽监测结果汇成可追溯的风险状态，仓库只给出了空间拓扑、传感器注册表、分生长阶段阈值、遥测 NDJSON 样例与字段契约，以及带 PostgreSQL 和输入校验器但尚无业务应用的 Docker Compose；请从零实现 Node.js 22 与 TypeScript 纯后台服务，批量接收传感器读数并校验设备归属、指标类型、时间戳和值域，按事件发生时间为同一单元计算十五分钟窗口，允许十分钟内的迟到数据触发确定性重算，再依据仓库阈值组合温度、湿度、氨气和咳嗽信号形成 normal、watch、critical 风险，并让告警经过连续两个异常窗口才开启、连续三个安全窗口才恢复，迟到读数不得制造重复的告警转换；读数、窗口结果和告警历史要持久化到 PostgreSQL，提供单元当前风险、活动告警、时间范围内窗口明细及告警历史接口，非法行需返回对应物理行号且不影响同批其他合法行；交付内容还应包括数据库迁移、应用健康检查、Dockerfile 和完整 Compose 接线，以及一个可重复执行的容器验收脚本，用仓库夹具实际证明正常与异常窗口、乱序到达后的重算、告警开启与恢复、逐行拒绝和持久化查询，全程不得调用云端养殖平台、识别模型或消息服务。</t>
        </is>
      </c>
      <c r="B42" t="inlineStr">
        <is>
          <t>5ea45279-4123-446e-a26d-7dfd938acb5d</t>
        </is>
      </c>
      <c r="C42" t="inlineStr">
        <is>
          <t>881f2e8f-8841-4fb9-b6b1-1debfd8291d3</t>
        </is>
      </c>
      <c r="D42" t="inlineStr">
        <is>
          <t>第一轮</t>
        </is>
      </c>
      <c r="E42" s="2" t="str">
        <f>=HYPERLINK("https://github.com/VanceMichael/usr-0908-pig-building-risk-scaffold/commit/7f9e4a9d5f3c8f1687c879f15f56667bc1fa1329", "https://github.com/VanceMichael/usr-0908-pig-building-risk-scaffold/commit/7f9e4a9d5f3c8f1687c879f15f56667bc1fa1329")</f>
        <v>https://github.com/VanceMichael/usr-0908-pig-building-risk-scaffold/commit/7f9e4a9d5f3c8f1687c879f15f56667bc1fa1329</v>
      </c>
      <c r="F42" t="inlineStr">
        <is>
          <t>轨迹_0908_第2题_5ea45279-4123-446e-a26d-7dfd938acb5d.jsonl</t>
        </is>
      </c>
      <c r="G42" t="inlineStr">
        <is>
          <t>已容器化，可一键起环境</t>
        </is>
      </c>
      <c r="H42" t="inlineStr">
        <is>
          <t>Claude Code</t>
        </is>
      </c>
      <c r="I42" t="inlineStr">
        <is>
          <t>2.1.263</t>
        </is>
      </c>
      <c r="J42" t="inlineStr">
        <is>
          <t>MacOS/Linux</t>
        </is>
      </c>
      <c r="K42" t="inlineStr">
        <is>
          <t>0-1 代码生成</t>
        </is>
      </c>
      <c r="L42" t="inlineStr">
        <is>
          <t>困难</t>
        </is>
      </c>
      <c r="M42" t="inlineStr">
        <is>
          <t>Node.js 22, TypeScript, PostgreSQL, Docker Compose</t>
        </is>
      </c>
      <c r="N42">
        <v>4</v>
      </c>
      <c r="O42" t="inlineStr">
        <is>
          <t>Node.js 22/TypeScript 服务、PostgreSQL 迁移、事件时间窗口、迟到重算、告警状态、逐行错误、查询接口和 Compose 接线均已落地；39/39 容器验收与 7 项单元测试通过，并验证了乱序读数、幂等重放、告警开闭和持久化查询。验收脚本通过了既定场景，但业务实现主要由脚本驱动验证，未见独立的容器重启后数据保留断言，持久化恢复证据相对薄弱。</t>
        </is>
      </c>
      <c r="P42">
        <v>4</v>
      </c>
      <c r="Q42" t="inlineStr">
        <is>
          <t>Node.js 22、TypeScript、PostgreSQL、纯后台、逐行拒绝且不影响合法行、Docker 验收和禁止外部服务等约束都在源码与 39 项验收中得到对应实现。Compose 为 acceptance profile 开启 ALLOW_RESET=true，并额外暴露测试用的 /admin/reset；该入口有环境变量门控且仅用于本地验收，属于受控的额外接口，未构成对核心要求的明显违背。</t>
        </is>
      </c>
      <c r="R42">
        <v>4</v>
      </c>
      <c r="S42" t="inlineStr">
        <is>
          <t>模型先读取全部夹具和契约，随后明确拆成摄入、窗口与告警、持久化、测试和容器验收四组任务，并用 TaskUpdate 跟踪完成状态；在测试脚本编写后又检查 server.ts 的响应结构再运行整栈。计划没有预留一次真正的重启恢复验证，最终验收虽覆盖持久化查询，却没有把‘重启后仍可读’单列为检查点。</t>
        </is>
      </c>
      <c r="T42">
        <v>4</v>
      </c>
      <c r="U42" t="inlineStr">
        <is>
          <t>水位线以单元最大事件时间为基准、迟到 10 分钟内重算、窗口版本递增，以及按窗口序列重新推导告警转换的设计彼此一致，39 项验收中的乱序、迟到、重复转换和逐行错误结果印证了这些判断。对‘持久卷数据在服务重启后继续可查询’的推理没有转化为专门验收步骤，因而该系统约束仍缺少直接证据。</t>
        </is>
      </c>
      <c r="V42">
        <v>3</v>
      </c>
      <c r="W42" t="inlineStr">
        <is>
          <t>工具序列中 scaffold 校验命令因使用 echo ===== 被 shell 当成命令而失败；首次 npm test 又把 dist/test 目录交给 node --test，得到 MODULE_NOT_FOUND，随后才通过查看 dist 目录并修改 package.json 路径修复。之后还多次重跑 Compose、验收和 scaffold 命令，最终 39/39 通过，但这些失败与重复重跑说明执行过程并不够精确。</t>
        </is>
      </c>
      <c r="X42"/>
      <c r="Y42" t="inlineStr">
        <is>
          <t>高勇前端</t>
        </is>
      </c>
      <c r="Z42" s="3">
        <v>46273</v>
      </c>
      <c r="AA42" t="inlineStr">
        <is>
          <t>通过</t>
        </is>
      </c>
      <c r="AB42"/>
      <c r="AC42"/>
      <c r="AD42"/>
    </row>
    <row r="43" ht="25.5" customHeight="1">
      <c r="A43" t="inlineStr">
        <is>
          <t>给冷站加上多台机组共用水泵的支持，有机组还在用就不能停泵，最后一台停稳后才能停，手动操作也不能绕过。如果启动失败或切换备用泵失败，那么不能影响其他机组。多台同时启停时不能重复开泵、误停泵，控制台能看出谁在用哪台泵，补上相关测试。</t>
        </is>
      </c>
      <c r="B43" t="inlineStr">
        <is>
          <t>bbce4014-7914-4554-bffc-de37ac076a36</t>
        </is>
      </c>
      <c r="C43" t="inlineStr">
        <is>
          <t>95423d6d-154c-41ac-8eeb-e4f0b1a2d4f9</t>
        </is>
      </c>
      <c r="D43" t="inlineStr">
        <is>
          <t>第一轮</t>
        </is>
      </c>
      <c r="E43" s="2" t="str">
        <f>=HYPERLINK("https://github.com/yyzyCSDN/solo-coder-ygw-004/commit/61a12d67d3bc414ee9d57f575eb93e16b4edfcb9", "https://github.com/yyzyCSDN/solo-coder-ygw-004/commit/61a12d67d3bc414ee9d57f575eb93e16b4edfcb9")</f>
        <v>https://github.com/yyzyCSDN/solo-coder-ygw-004/commit/61a12d67d3bc414ee9d57f575eb93e16b4edfcb9</v>
      </c>
      <c r="F43" t="inlineStr">
        <is>
          <t>bbce4014-7914-4554-bffc-de37ac076a36.jsonl</t>
        </is>
      </c>
      <c r="G43" t="inlineStr">
        <is>
          <t>无外部依赖</t>
        </is>
      </c>
      <c r="H43" t="inlineStr">
        <is>
          <t>Claude Code</t>
        </is>
      </c>
      <c r="I43" t="inlineStr">
        <is>
          <t>2.1.263</t>
        </is>
      </c>
      <c r="J43" t="inlineStr">
        <is>
          <t>MacOS/Linux</t>
        </is>
      </c>
      <c r="K43" t="inlineStr">
        <is>
          <t>feature迭代</t>
        </is>
      </c>
      <c r="L43" t="inlineStr">
        <is>
          <t>困难</t>
        </is>
      </c>
      <c r="M43" t="inlineStr">
        <is>
          <t>Go 1.23.12, net/http</t>
        </is>
      </c>
      <c r="N43">
        <v>3</v>
      </c>
      <c r="O43" t="inlineStr">
        <is>
          <t>正常的共享启停、失败隔离和使用者展示都已做出，模型的相关测试也通过了。但停机先标成已停再释放水泵，这时同一机组重新启动会沿用旧占用，随后被旧停机操作释放；若它是最后一个使用者，正在重启时泵就会被停掉。</t>
        </is>
      </c>
      <c r="P43">
        <v>3</v>
      </c>
      <c r="Q43" t="inlineStr">
        <is>
          <t>控制台展示和补测试都做了，普通手动停泵也会被拦住。但“不能重复开泵、误停泵”还没完全做到：停机收尾时可以接入一次新启动，旧停机操作随后会清掉新启动正在依赖的占用。问题在机组和水泵交接处，不是泵内部少加了一把锁。</t>
        </is>
      </c>
      <c r="R43">
        <v>5</v>
      </c>
      <c r="S43" t="inlineStr">
        <is>
          <t>先把工作分成水泵占用、机组联动、控制台和测试四块，按顺序推进，每一块都有开始和完成记录。最后又核对了端到端结果和改动范围，四项任务全部更新为完成，过程能跟得上。</t>
        </is>
      </c>
      <c r="T43">
        <v>3</v>
      </c>
      <c r="U43" t="inlineStr">
        <is>
          <t>用使用者集合和水泵内部锁处理多机共享，方向是对的；把放泵挪到停机确认后也合理。漏想了一步：机组已经显示停机，不代表上一次放泵已经结束。占用只认机组编号，分不清旧停机和新启动，所以水泵内部串行仍挡不住这个交错。</t>
        </is>
      </c>
      <c r="V43">
        <v>4</v>
      </c>
      <c r="W43" t="inlineStr">
        <is>
          <t>构建、vet、相关包竞态测试和并发重复测试都有通过记录。但已有一次失败后仍重复同种清理写法，这部分是明显的无效调用。</t>
        </is>
      </c>
      <c r="X43"/>
      <c r="Y43" t="inlineStr">
        <is>
          <t>孙蕤</t>
        </is>
      </c>
      <c r="Z43" s="3">
        <v>46273</v>
      </c>
      <c r="AA43" t="inlineStr">
        <is>
          <t>通过</t>
        </is>
      </c>
      <c r="AB43"/>
      <c r="AC43"/>
      <c r="AD43"/>
    </row>
    <row r="44" ht="25.5" customHeight="1">
      <c r="A44" t="inlineStr">
        <is>
          <t>机组刚停下来又马上启动时，上一轮停机可能把新启动正在用的水泵停掉。修一下这个问题，旧的停机操作别清掉新启动的占用，补个并发测试，其他机组的正常启停别受影响。</t>
        </is>
      </c>
      <c r="B44" t="inlineStr">
        <is>
          <t>bbce4014-7914-4554-bffc-de37ac076a36</t>
        </is>
      </c>
      <c r="C44" t="inlineStr">
        <is>
          <t>d6015cd4-ddfa-40f4-89c5-0807ca85ae0b</t>
        </is>
      </c>
      <c r="D44" t="inlineStr">
        <is>
          <t>第二轮</t>
        </is>
      </c>
      <c r="E44" s="2" t="str">
        <f>=HYPERLINK("https://github.com/yyzyCSDN/solo-coder-ygw-004/commit/61a12d67d3bc414ee9d57f575eb93e16b4edfcb9", "https://github.com/yyzyCSDN/solo-coder-ygw-004/commit/61a12d67d3bc414ee9d57f575eb93e16b4edfcb9")</f>
        <v>https://github.com/yyzyCSDN/solo-coder-ygw-004/commit/61a12d67d3bc414ee9d57f575eb93e16b4edfcb9</v>
      </c>
      <c r="F44" t="inlineStr">
        <is>
          <t>bbce4014-7914-4554-bffc-de37ac076a36.jsonl</t>
        </is>
      </c>
      <c r="G44" t="inlineStr">
        <is>
          <t>无外部依赖</t>
        </is>
      </c>
      <c r="H44" t="inlineStr">
        <is>
          <t>Claude Code</t>
        </is>
      </c>
      <c r="I44" t="inlineStr">
        <is>
          <t>2.1.263</t>
        </is>
      </c>
      <c r="J44" t="inlineStr">
        <is>
          <t>MacOS/Linux</t>
        </is>
      </c>
      <c r="K44" t="inlineStr">
        <is>
          <t>feature迭代</t>
        </is>
      </c>
      <c r="L44" t="inlineStr">
        <is>
          <t>中等</t>
        </is>
      </c>
      <c r="M44" t="inlineStr">
        <is>
          <t>Go 1.23.12, net/http</t>
        </is>
      </c>
      <c r="N44">
        <v>4</v>
      </c>
      <c r="O44" t="inlineStr">
        <is>
          <t>上轮指出的旧停机清掉新占用，已改成每次启动单独记账、按对应批次释放，泵级回归和竞态测试通过了。新增的机组级测试还是先停完再启动，没有卡住停机收尾与重启交错的时刻，这部分测试还不够贴近原问题。</t>
        </is>
      </c>
      <c r="P44">
        <v>5</v>
      </c>
      <c r="Q44" t="inlineStr">
        <is>
          <t>这轮的要求逐条对过：旧操作只释放自己的占用，补了并发测试，也检查了其他机组的启停。只改了水泵、机组两个业务文件和三个相关测试文件，没有动页面或加新功能。已有测试名称都保留了。</t>
        </is>
      </c>
      <c r="R44">
        <v>4</v>
      </c>
      <c r="S44" t="inlineStr">
        <is>
          <t>先说明出错的先后顺序，再改水泵记账、接机组启停、更新测试，最后做检查和总结。每一步都有交代，不过中途从按顺序释放改成按指定批次释放，前面的实现和测试又调整了一遍，推进不算利落。</t>
        </is>
      </c>
      <c r="T44">
        <v>3</v>
      </c>
      <c r="U44" t="inlineStr">
        <is>
          <t>一开始就找到了新旧启动共用一个占用的问题，却先用队列顺序猜该释放哪次启动。回归测试仍报错后，才改成让停机带着自己的占用标识。最后方向对了，但这个关键判断绕了一圈，整轮用时过久。</t>
        </is>
      </c>
      <c r="V44">
        <v>3</v>
      </c>
      <c r="W44" t="inlineStr">
        <is>
          <t>更新测试文件时因内容已变更写入失败，重新读取后才成功；第一次端到端脚本把请求和后台调用写错，重写后才得到有效结果。三次清理又返回144。构建、vet和竞态测试最终通过，但工具操作还有不少返工。</t>
        </is>
      </c>
      <c r="X44"/>
      <c r="Y44" t="inlineStr">
        <is>
          <t>孙蕤</t>
        </is>
      </c>
      <c r="Z44" s="3">
        <v>46273</v>
      </c>
      <c r="AA44" t="inlineStr">
        <is>
          <t>通过</t>
        </is>
      </c>
      <c r="AB44"/>
      <c r="AC44"/>
      <c r="AD44"/>
    </row>
    <row r="45" ht="25.5" customHeight="1">
      <c r="A45" t="inlineStr">
        <is>
          <t xml:space="preserve">目前压机跑批时主液压源偶尔会掉数据，现在切备用源全靠人工，切完以后压力曲线经常断一截，质量那边还可能照常放行。给我把这块做成自动容灾，主源确实不可用时再平滑切到备用，备用状态不对就把设备停到安全状态。切换时别出现两个泵同时工作，也要考虑重复操作和紧急停机刚好撞上的情况。运行页上能看到当前压力来源和切换结果，服务重启后记录别丢，数据不完整的批次不能正常放行，现有压制流程别受影响。 </t>
        </is>
      </c>
      <c r="B45" t="inlineStr">
        <is>
          <t>f33c269c-8bca-449f-9091-32aadece1334</t>
        </is>
      </c>
      <c r="C45" t="inlineStr">
        <is>
          <t>103f266f-9db2-4fb5-8f1e-2c3d9547f765</t>
        </is>
      </c>
      <c r="D45" t="inlineStr">
        <is>
          <t>第一轮</t>
        </is>
      </c>
      <c r="E45" s="2" t="str">
        <f>=HYPERLINK("https://github.com/wyw14/wyw-solocode-003/commit/22d8fec89b3b99d3f7826972e5132be02a7dbc62", "https://github.com/wyw14/wyw-solocode-003/commit/22d8fec89b3b99d3f7826972e5132be02a7dbc62")</f>
        <v>https://github.com/wyw14/wyw-solocode-003/commit/22d8fec89b3b99d3f7826972e5132be02a7dbc62</v>
      </c>
      <c r="F45" t="inlineStr">
        <is>
          <t>trace-000.jsonl</t>
        </is>
      </c>
      <c r="G45" t="inlineStr">
        <is>
          <t>无外部依赖</t>
        </is>
      </c>
      <c r="H45" t="inlineStr">
        <is>
          <t>Claude Code</t>
        </is>
      </c>
      <c r="I45" t="inlineStr">
        <is>
          <t>2.1.263</t>
        </is>
      </c>
      <c r="J45" t="inlineStr">
        <is>
          <t>MacOS/Linux</t>
        </is>
      </c>
      <c r="K45" t="inlineStr">
        <is>
          <t>feature迭代</t>
        </is>
      </c>
      <c r="L45" t="inlineStr">
        <is>
          <t>困难</t>
        </is>
      </c>
      <c r="M45" t="inlineStr">
        <is>
          <t>Go 1.26.2；Go HTTP；HTML/JavaScript</t>
        </is>
      </c>
      <c r="N45">
        <v>3</v>
      </c>
      <c r="O45" t="inlineStr">
        <is>
          <t>已新增液压容灾状态机、主备切换、备用健康检查、安全态、幂等处理、持久化、放行门禁、液压状态 API 和运行页展示；定向测试与原有压制流程测试通过。但急停后的驱动锁定、切换序列恢复和泄压复位仍有缺陷。</t>
        </is>
      </c>
      <c r="P45">
        <v>3</v>
      </c>
      <c r="Q45" t="inlineStr">
        <is>
          <t>覆盖了主源失效切换、备用源异常停机、双泵互斥、重复操作、急停竞态、重启记录、数据不完整批次禁止放行及原流程兼容等主要要求；但安全态下仍可能重新驱动泵，说明安全约束未完全落实。</t>
        </is>
      </c>
      <c r="R45">
        <v>4</v>
      </c>
      <c r="S45" t="inlineStr">
        <is>
          <t>模型明确拆分了状态机、质量门禁、持久化、服务接入和页面展示等任务，随后分阶段修改代码、补测试并执行回归；期间虽然出现错误工作目录和错误 API 路径，但有恢复和后续验证。</t>
        </is>
      </c>
      <c r="T45">
        <v>3</v>
      </c>
      <c r="U45" t="inlineStr">
        <is>
          <t>正确识别了主源无检测、切换无互斥、曲线断档仍可放行、急停未协调和重启丢记录等根因，并采用 break-before-make；但没有识别 Drive 对 safe-hold/emergency 的最终锁定问题，也没有补足序列号和泄压状态一致性。</t>
        </is>
      </c>
      <c r="V45">
        <v>3</v>
      </c>
      <c r="W45" t="inlineStr">
        <is>
          <t>完成多处 Go 服务、状态机、API、页面和测试修改；共记录 104 次工具调用，6 项独立验收均成功，且液压并发 race 检查通过。过程中有一次错误 Edit、错误命令和 pkill -f 返回码 144，执行考虑不够周全。</t>
        </is>
      </c>
      <c r="X45" t="inlineStr">
        <is>
          <t>运行一个多小时后。模型最后报504错误</t>
        </is>
      </c>
      <c r="Y45" t="inlineStr">
        <is>
          <t>熊鑫</t>
        </is>
      </c>
      <c r="Z45" s="3">
        <v>46273</v>
      </c>
      <c r="AA45" t="inlineStr">
        <is>
          <t>通过</t>
        </is>
      </c>
      <c r="AB45"/>
      <c r="AC45"/>
      <c r="AD45"/>
    </row>
    <row r="46" ht="25.5" customHeight="1">
      <c r="A46" t="inlineStr">
        <is>
          <t>长配方镀膜有时会碰到几次膜厚仪连续出无效值，系统还是继续开着蒸发源跑，人工停下来再恢复，有时又会把已经完成的膜层重跑一遍。想加个异常停镀和断点续跑，膜厚不可信或超过目标后先关挡板、停源并记住做到哪一层，处理完再从这里继续。运行中的配方不能被新编辑的版本影响，多个人同时点恢复也只能执行一次。页面上要能看出停机原因、当前层和恢复结果，服务重启后还能接上，挡板关不上或腔体条件不满足时别显示成功。</t>
        </is>
      </c>
      <c r="B46" t="inlineStr">
        <is>
          <t>e8199891-48e5-4b28-b1c1-0373e4be8641</t>
        </is>
      </c>
      <c r="C46" t="inlineStr">
        <is>
          <t>a1b44fdd-d46e-4af9-8403-ee0a54c3ce30</t>
        </is>
      </c>
      <c r="D46" t="inlineStr">
        <is>
          <t>第一轮</t>
        </is>
      </c>
      <c r="E46" s="2" t="str">
        <f>=HYPERLINK("https://github.com/wyw14/wyw-solocode-004/commit/57727049bb5795bff77534a5682e9e94e36af36f", "https://github.com/wyw14/wyw-solocode-004/commit/57727049bb5795bff77534a5682e9e94e36af36f")</f>
        <v>https://github.com/wyw14/wyw-solocode-004/commit/57727049bb5795bff77534a5682e9e94e36af36f</v>
      </c>
      <c r="F46" t="inlineStr">
        <is>
          <t>trace-000.jsonl</t>
        </is>
      </c>
      <c r="G46" t="inlineStr">
        <is>
          <t>无外部依赖</t>
        </is>
      </c>
      <c r="H46" t="inlineStr">
        <is>
          <t>Claude Code</t>
        </is>
      </c>
      <c r="I46" t="inlineStr">
        <is>
          <t>2.1.263</t>
        </is>
      </c>
      <c r="J46" t="inlineStr">
        <is>
          <t>MacOS/Linux</t>
        </is>
      </c>
      <c r="K46" t="inlineStr">
        <is>
          <t>feature迭代</t>
        </is>
      </c>
      <c r="L46" t="inlineStr">
        <is>
          <t>困难</t>
        </is>
      </c>
      <c r="M46" t="inlineStr">
        <is>
          <t>Go 1.26，net/http</t>
        </is>
      </c>
      <c r="N46">
        <v>2</v>
      </c>
      <c r="O46" t="inlineStr">
        <is>
          <t>已实现膜厚异常看门狗的连续无效值、有效值重置和超目标判断，以及断点存储、并发恢复 CAS 和挡板关闭反馈等底层逻辑；但这些逻辑尚未接入服务运行时、API 和页面。连续无效值时运行仍为 coating，蒸发源功率仍为 2，挡板仍打开；服务重启恢复、配方版本冻结和腔体条件校验也未满足。</t>
        </is>
      </c>
      <c r="P46">
        <v>2</v>
      </c>
      <c r="Q46" t="inlineStr">
        <is>
          <t>识别了异常停镀、断点、互斥恢复、配方冻结和安全反馈等要求，但实际遗漏了多个明确约束：无效值没有触发停镀，重启后没有接续，腔体未就绪时仍返回恢复成功。</t>
        </is>
      </c>
      <c r="R46">
        <v>4</v>
      </c>
      <c r="S46" t="inlineStr">
        <is>
          <t>先拆分了状态模型、膜厚看门狗、持久化、挡板安全、恢复互斥和配方版本等子问题，阶段性读取和修改顺序基本合理。</t>
        </is>
      </c>
      <c r="T46">
        <v>3</v>
      </c>
      <c r="U46" t="inlineStr">
        <is>
          <t>对核心业务状态和并发恢复模型的理解基本正确，底层看门狗、CAS 和挡板失败边界验证通过；但没有把这些逻辑连入真实膜厚消费链路，也没有发现服务启动、运行时捕获和恢复条件仍未生效。</t>
        </is>
      </c>
      <c r="V46">
        <v>3</v>
      </c>
      <c r="W46" t="inlineStr">
        <is>
          <t>实际只修改了 6 个源码文件，未新增有效的端到端测试；大量操作停留在读取和底层实现阶段。</t>
        </is>
      </c>
      <c r="X46"/>
      <c r="Y46" t="inlineStr">
        <is>
          <t>熊鑫</t>
        </is>
      </c>
      <c r="Z46" s="3">
        <v>46273</v>
      </c>
      <c r="AA46" t="inlineStr">
        <is>
          <t>通过</t>
        </is>
      </c>
      <c r="AB46"/>
      <c r="AC46"/>
      <c r="AD46"/>
    </row>
    <row r="47" ht="25.5" customHeight="1">
      <c r="A47" t="inlineStr">
        <is>
          <t>我们准备把多家模型接入青少年学习产品，但产品经理不能接受把安全责任交给某一个模型供应商，我需要你从零构建一套可部署的 AI 对话安全编排服务，并以仓库内的 OpenAPI 合同、风险分类表和验收场景为准完成整个项目。客户端提交青少年档案、会话轮次和上游风险信号后，服务要结合年龄段、监护人同意范围、当地安静时段、连续试探行为和当前策略版本给出允许、需改写、转监护人复核、危机转介或拒绝的稳定决定；同一会话的轮次必须按序处理，重复请求返回原决定，过期或乱序输入不能改变已落库结果，并发到达也不能让计数器和处置状态分叉。监护人能够签发有用途与有效期限制的同意、撤销尚未消费的同意并处理待复核项，但不能覆盖自伤危机、性剥削或现实暴力等不可豁免边界；每次决定必须保留命中的规则、策略版本、最少必要的证据摘要和操作者，查询接口只向不同角色暴露其应见字段且不能回显原始敏感文本。全部业务状态要持久保存，重启后仍能继续判定和审计，时区跨午夜、同意过期、策略升级、请求重放、并发复核和敏感字段脱敏都要有可执行的验收测试；项目使用 Python 实现，通过 Docker Compose 一条命令启动服务和所需依赖，不调用真实外部 AI，并提供健康检查、数据库迁移与清晰的失败响应。</t>
        </is>
      </c>
      <c r="B47" t="inlineStr">
        <is>
          <t>0333b615-745f-43f4-aa16-e2fc288605ea</t>
        </is>
      </c>
      <c r="C47" t="inlineStr">
        <is>
          <t>029cf474-493f-4658-a0a7-7b6429eb0e0d</t>
        </is>
      </c>
      <c r="D47" t="inlineStr">
        <is>
          <t>第一轮</t>
        </is>
      </c>
      <c r="E47" s="2" t="str">
        <f>=HYPERLINK("https://github.com/MonsterRHD/cc-usr-0908-q001-youth-safety/commit/09beb3266b221ae516577afec53b3700e522f3f9", "https://github.com/MonsterRHD/cc-usr-0908-q001-youth-safety/commit/09beb3266b221ae516577afec53b3700e522f3f9")</f>
        <v>https://github.com/MonsterRHD/cc-usr-0908-q001-youth-safety/commit/09beb3266b221ae516577afec53b3700e522f3f9</v>
      </c>
      <c r="F47" t="inlineStr">
        <is>
          <t>轨迹_0908_第1题_0333b615-745f-43f4-aa16-e2fc288605ea.jsonl</t>
        </is>
      </c>
      <c r="G47" t="inlineStr">
        <is>
          <t>已容器化，可一键起环境</t>
        </is>
      </c>
      <c r="H47" t="inlineStr">
        <is>
          <t>Claude Code</t>
        </is>
      </c>
      <c r="I47" t="inlineStr">
        <is>
          <t>2.1.263</t>
        </is>
      </c>
      <c r="J47" t="inlineStr">
        <is>
          <t>MacOS/Linux</t>
        </is>
      </c>
      <c r="K47" t="inlineStr">
        <is>
          <t>0-1代码生成</t>
        </is>
      </c>
      <c r="L47" t="inlineStr">
        <is>
          <t>地狱</t>
        </is>
      </c>
      <c r="M47" t="inlineStr">
        <is>
          <t>Python, FastAPI, PostgreSQL, Docker Compose</t>
        </is>
      </c>
      <c r="N47">
        <v>5</v>
      </c>
      <c r="O47" t="inlineStr">
        <is>
          <t>Compose 冷启动后，服务的 /health 返回 ok，验收脚本和重启后的复验都通过。并发场景重复执行也得到同样结果，顺序、幂等、时区、隐私和重启要求都有对应证据。</t>
        </is>
      </c>
      <c r="P47">
        <v>5</v>
      </c>
      <c r="Q47" t="inlineStr">
        <is>
          <t>代码使用 Python、FastAPI、PostgreSQL 和 Docker Compose。profiles、consents、turns、reviews、audit 这些接口都已接上，审计记录只留 evidence digest。策略升级、跨午夜时段和角色字段隔离也在验收里检查过，未见偏离题目约束。</t>
        </is>
      </c>
      <c r="R47">
        <v>4</v>
      </c>
      <c r="S47" t="inlineStr">
        <is>
          <t>先做决策引擎和数据层，再接 HTTP 接口，最后补验收。遇到参数绑定、迁移路径和并发断言的问题，模型会回到相应代码修正并复跑。准备工作不够扎实，测试目录还没齐就跑过 pytest，服务也重复启动过几次。</t>
        </is>
      </c>
      <c r="T47">
        <v>4</v>
      </c>
      <c r="U47" t="inlineStr">
        <is>
          <t>序号和幂等交给会话锁配合唯一约束，同意消费与复核放在同一事务中，角色查询分开投影。ReviewResolveInput、迁移路径和并发前缀的错误都能根据日志找到原因。并发场景第一次的假设不成立，边界推导做过一次返工。</t>
        </is>
      </c>
      <c r="V47">
        <v>3</v>
      </c>
      <c r="W47" t="inlineStr">
        <is>
          <t>验证能跑通，但过程不够顺。pytest 曾因测试目录未就绪失败，服务启动和重建各遇到连接问题，路由导入、复核请求和第一版并发测试也分别报过错。通过重建、重跑和锁实验才稳定下来，调用中仍有可以提前避免的失败。</t>
        </is>
      </c>
      <c r="X47"/>
      <c r="Y47" t="inlineStr">
        <is>
          <t>任皇定</t>
        </is>
      </c>
      <c r="Z47" s="3">
        <v>46273</v>
      </c>
      <c r="AA47" t="inlineStr">
        <is>
          <t>通过</t>
        </is>
      </c>
      <c r="AB47"/>
      <c r="AC47"/>
      <c r="AD47"/>
    </row>
    <row r="48" ht="25.5" customHeight="1">
      <c r="A48" t="inlineStr">
        <is>
          <t>学校允许学生使用能浏览网页、上传资料和调用校园工具的 AI 代理后，最棘手的问题是怎样在不阻断正常学习的前提下明确每一次自动行动的边界，我希望你从零交付一套青少年 AI 代理能力通行证平台，按照仓库中的领域约束、消息格式和示例清单实现控制面与设备侧判定模块。学校安全员要能发布带递增版本的能力策略，把浏览、文件上传、位置读取、对外发送和付费操作按年级、校园或家庭场景、日期区间与每日额度组合成允许、拒绝或需监护人一次性授权的规则；设备按所属学生拉取签名策略快照，在短暂离线时仍可判断行动计划，网络恢复后上报已执行回执，服务端必须拒绝伪造、过期、版本回退和重复回执，并在多个设备竞争同一额度或同一授权时保证最多消费一次。一次行动计划可能包含多个能力，只有全部获准才能原子签发短时通行证，任何禁止能力都要让整组失败且给出面向学生的安全说明，同时向安全员保留不含文件正文和精确位置的审计依据；监护人可以批准具体行动或收紧家庭规则，但不能放宽学校设定的硬边界，策略撤回后已签发但未使用的高风险通行证必须失效。请使用 Python 完成服务端和可导入的设备判定包，通过 Docker Compose 启动数据库与服务，密钥只能由环境注入，提供数据库迁移、探针和可重复的端到端验证，覆盖策略竞态、离线窗口、跨设备额度争抢、授权重放、批量行动原子性、撤回传播和容器重启恢复。</t>
        </is>
      </c>
      <c r="B48" t="inlineStr">
        <is>
          <t>c212e386-3bfd-4b69-b5ec-c802b13e721e</t>
        </is>
      </c>
      <c r="C48" t="inlineStr">
        <is>
          <t>05a9144d-0835-4384-9fd5-8c36d8556385</t>
        </is>
      </c>
      <c r="D48" t="inlineStr">
        <is>
          <t>第一轮</t>
        </is>
      </c>
      <c r="E48" s="2" t="str">
        <f>=HYPERLINK("https://github.com/MonsterRHD/cc-usr-0908-q002-agent-capability/commit/824638dcc9146d45bd2a294dc89a9e9584a0a8f8", "https://github.com/MonsterRHD/cc-usr-0908-q002-agent-capability/commit/824638dcc9146d45bd2a294dc89a9e9584a0a8f8")</f>
        <v>https://github.com/MonsterRHD/cc-usr-0908-q002-agent-capability/commit/824638dcc9146d45bd2a294dc89a9e9584a0a8f8</v>
      </c>
      <c r="F48" t="inlineStr">
        <is>
          <t>轨迹_0908_第2题_c212e386-3bfd-4b69-b5ec-c802b13e721e.jsonl</t>
        </is>
      </c>
      <c r="G48" t="inlineStr">
        <is>
          <t>已容器化，可一键起环境</t>
        </is>
      </c>
      <c r="H48" t="inlineStr">
        <is>
          <t>Claude Code</t>
        </is>
      </c>
      <c r="I48" t="inlineStr">
        <is>
          <t>2.1.263</t>
        </is>
      </c>
      <c r="J48" t="inlineStr">
        <is>
          <t>MacOS/Linux</t>
        </is>
      </c>
      <c r="K48" t="inlineStr">
        <is>
          <t>0-1代码生成</t>
        </is>
      </c>
      <c r="L48" t="inlineStr">
        <is>
          <t>地狱</t>
        </is>
      </c>
      <c r="M48" t="inlineStr">
        <is>
          <t>Python, FastAPI, PostgreSQL, Docker Compose</t>
        </is>
      </c>
      <c r="N48">
        <v>2</v>
      </c>
      <c r="O48" t="inlineStr">
        <is>
          <t>先写好了设备评估骨架、配置和数据模型，工作在开始通行证服务前停住。pass_service、receipt_service、FastAPI 路由、迁移和验收测试都没有落地，所以原子签发、回执对账、撤回传播和重启恢复当时没有可运行结果。</t>
        </is>
      </c>
      <c r="P48">
        <v>4</v>
      </c>
      <c r="Q48" t="inlineStr">
        <is>
          <t>开始时查过 OpenAPI、设备消息 schema、领域规则和验收场景，目录和依赖也按 Python、FastAPI、PostgreSQL、Compose 搭建，轨迹里没有把密钥写入仓库的操作。由于只做到前置代码，其他业务约束还没有机会实现或验证。</t>
        </is>
      </c>
      <c r="R48">
        <v>4</v>
      </c>
      <c r="S48" t="inlineStr">
        <is>
          <t>任务分成设备评估器、控制面、持久层和容器化测试，先处理纯函数与模型，再进入业务层，安排没有明显跳步。停下时控制面仍在中途，迁移、API 和验收还没有各自的完成检查。</t>
        </is>
      </c>
      <c r="T48">
        <v>4</v>
      </c>
      <c r="U48" t="inlineStr">
        <is>
          <t>Ed25519 快照、规范化 JSON、离线判定、条件更新和一次性授权都给出了实现方向，线上和离线也共用了一部分纯函数。这些想法没有经过数据库和 API 的实际运行，事务边界与竞态是否成立仍无法确认。</t>
        </is>
      </c>
      <c r="V48">
        <v>3</v>
      </c>
      <c r="W48" t="inlineStr">
        <is>
          <t>实际执行集中在读合同、建目录和写骨架，只有少量配置冒烟，没有执行测试、迁移或容器健康检查。通行证服务尚未开始，结果停在未验证的中间阶段。</t>
        </is>
      </c>
      <c r="X48"/>
      <c r="Y48" t="inlineStr">
        <is>
          <t>任皇定</t>
        </is>
      </c>
      <c r="Z48" s="3">
        <v>46273</v>
      </c>
      <c r="AA48" t="inlineStr">
        <is>
          <t>通过</t>
        </is>
      </c>
      <c r="AB48"/>
      <c r="AC48"/>
      <c r="AD48"/>
    </row>
    <row r="49" ht="25.5" customHeight="1">
      <c r="A49" t="inlineStr">
        <is>
          <t>继续</t>
        </is>
      </c>
      <c r="B49" t="inlineStr">
        <is>
          <t>c212e386-3bfd-4b69-b5ec-c802b13e721e</t>
        </is>
      </c>
      <c r="C49" t="inlineStr">
        <is>
          <t>141cbac6-1136-4aae-934e-dd9b36257b11</t>
        </is>
      </c>
      <c r="D49" t="inlineStr">
        <is>
          <t>第二轮</t>
        </is>
      </c>
      <c r="E49" s="2" t="str">
        <f>=HYPERLINK("https://github.com/MonsterRHD/cc-usr-0908-q002-agent-capability/commit/824638dcc9146d45bd2a294dc89a9e9584a0a8f8", "https://github.com/MonsterRHD/cc-usr-0908-q002-agent-capability/commit/824638dcc9146d45bd2a294dc89a9e9584a0a8f8")</f>
        <v>https://github.com/MonsterRHD/cc-usr-0908-q002-agent-capability/commit/824638dcc9146d45bd2a294dc89a9e9584a0a8f8</v>
      </c>
      <c r="F49" t="inlineStr">
        <is>
          <t>轨迹_0908_第2题_c212e386-3bfd-4b69-b5ec-c802b13e721e.jsonl</t>
        </is>
      </c>
      <c r="G49" t="inlineStr">
        <is>
          <t>已容器化，可一键起环境</t>
        </is>
      </c>
      <c r="H49" t="inlineStr">
        <is>
          <t>Claude Code</t>
        </is>
      </c>
      <c r="I49" t="inlineStr">
        <is>
          <t>2.1.263</t>
        </is>
      </c>
      <c r="J49" t="inlineStr">
        <is>
          <t>MacOS/Linux</t>
        </is>
      </c>
      <c r="K49" t="inlineStr">
        <is>
          <t>0-1代码生成</t>
        </is>
      </c>
      <c r="L49" t="inlineStr">
        <is>
          <t>地狱</t>
        </is>
      </c>
      <c r="M49" t="inlineStr">
        <is>
          <t>Python, FastAPI, PostgreSQL, Docker Compose</t>
        </is>
      </c>
      <c r="N49">
        <v>3</v>
      </c>
      <c r="O49" t="inlineStr">
        <is>
          <t>设备评估、控制面、迁移、路由和 E2E 已经写了不少，但离结束时还没有集成或端到端通过记录。通行证签发和回执还在改，原子额度、授权消费和离线对账不能据此判定为可用。</t>
        </is>
      </c>
      <c r="P49">
        <v>3</v>
      </c>
      <c r="Q49" t="inlineStr">
        <is>
          <t>仍然使用 Python、FastAPI、PostgreSQL 和 Compose，新增的 .dockerignore 也排除了密钥材料。signing.py 在 development 环境缺少 POLICY_SIGNING_KEY_PATH 时会自建临时密钥，这和“密钥只能从环境注入”的要求冲突，放宽了安全限制。</t>
        </is>
      </c>
      <c r="R49">
        <v>3</v>
      </c>
      <c r="S49" t="inlineStr">
        <is>
          <t>编译器、策略服务、通行证服务、迁移、路由和 E2E 是按依赖关系逐步补的，遇到问题也改过编译器签名和竞态断言。每一段都没有设明确的验收点，Postgres 集成验证还没开始。</t>
        </is>
      </c>
      <c r="T49">
        <v>4</v>
      </c>
      <c r="U49" t="inlineStr">
        <is>
          <t>扁平 overlay 规则和 compile_ruleset 参数不一致的问题被识别出来，并发失败也被分成 quota_exhausted 和 plan_denied，离线回执按签名原文校验。首次导入检查和路由枚举选的实现不合适，后面还需要修正。</t>
        </is>
      </c>
      <c r="V49">
        <v>3</v>
      </c>
      <c r="W49" t="inlineStr">
        <is>
          <t>有几次调用本身就出了问题：相对导入写错，访问 _IncludedRouter.path 抛 AttributeError，冒烟脚本虽然打印出预期结果却因 shell 片段失败退出。改导入、换成 app.openapi 后继续补代码，但测试闭环没有在这次交互里完成。</t>
        </is>
      </c>
      <c r="X49"/>
      <c r="Y49" t="inlineStr">
        <is>
          <t>任皇定</t>
        </is>
      </c>
      <c r="Z49" s="3">
        <v>46273</v>
      </c>
      <c r="AA49" t="inlineStr">
        <is>
          <t>通过</t>
        </is>
      </c>
      <c r="AB49"/>
      <c r="AC49"/>
      <c r="AD49"/>
    </row>
    <row r="50" ht="25.5" customHeight="1">
      <c r="A50" t="inlineStr">
        <is>
          <t>继续</t>
        </is>
      </c>
      <c r="B50" t="inlineStr">
        <is>
          <t>c212e386-3bfd-4b69-b5ec-c802b13e721e</t>
        </is>
      </c>
      <c r="C50" t="inlineStr">
        <is>
          <t>2268d25e-69eb-42cd-beb4-b7a138b394b9</t>
        </is>
      </c>
      <c r="D50" t="inlineStr">
        <is>
          <t>第三轮</t>
        </is>
      </c>
      <c r="E50" s="2" t="str">
        <f>=HYPERLINK("https://github.com/MonsterRHD/cc-usr-0908-q002-agent-capability/commit/824638dcc9146d45bd2a294dc89a9e9584a0a8f8", "https://github.com/MonsterRHD/cc-usr-0908-q002-agent-capability/commit/824638dcc9146d45bd2a294dc89a9e9584a0a8f8")</f>
        <v>https://github.com/MonsterRHD/cc-usr-0908-q002-agent-capability/commit/824638dcc9146d45bd2a294dc89a9e9584a0a8f8</v>
      </c>
      <c r="F50" t="inlineStr">
        <is>
          <t>轨迹_0908_第2题_c212e386-3bfd-4b69-b5ec-c802b13e721e.jsonl</t>
        </is>
      </c>
      <c r="G50" t="inlineStr">
        <is>
          <t>已容器化，可一键起环境</t>
        </is>
      </c>
      <c r="H50" t="inlineStr">
        <is>
          <t>Claude Code</t>
        </is>
      </c>
      <c r="I50" t="inlineStr">
        <is>
          <t>2.1.263</t>
        </is>
      </c>
      <c r="J50" t="inlineStr">
        <is>
          <t>MacOS/Linux</t>
        </is>
      </c>
      <c r="K50" t="inlineStr">
        <is>
          <t>0-1代码生成</t>
        </is>
      </c>
      <c r="L50" t="inlineStr">
        <is>
          <t>地狱</t>
        </is>
      </c>
      <c r="M50" t="inlineStr">
        <is>
          <t>Python, FastAPI, PostgreSQL, Docker Compose</t>
        </is>
      </c>
      <c r="N50">
        <v>4</v>
      </c>
      <c r="O50" t="inlineStr">
        <is>
          <t>控制面、设备包、迁移、Compose 和 README 都补上了。Postgres 测试、E2E 场景和容器重建后的状态与日志检查均通过。唯一还没收紧的是缺少密钥时的 development fallback，它会生成临时签名密钥。</t>
        </is>
      </c>
      <c r="P50">
        <v>3</v>
      </c>
      <c r="Q50" t="inlineStr">
        <is>
          <t>版本竞态、离线窗口、跨设备额度、一次性授权、撤回传播、容器恢复和日志脱敏都有实现或测试依据。PolicySigner 在找不到 POLICY_SIGNING_KEY_PATH 时仍创建 ephemeral key，README 也保留了这条路径，和密钥必须由环境注入的要求不一致。</t>
        </is>
      </c>
      <c r="R50">
        <v>4</v>
      </c>
      <c r="S50" t="inlineStr">
        <is>
          <t>先把 E2E 脚本跑起来，再补 Postgres 集成测试；遇到失败后调整回执索引和离线授权时间窗口，最后重跑并更新 README。阶段状态有更新，但数据库未就绪和 8080 端口被占用这两个前置条件没有预先处理。</t>
        </is>
      </c>
      <c r="T50">
        <v>4</v>
      </c>
      <c r="U50" t="inlineStr">
        <is>
          <t>receipts.pass_id 的唯一约束过宽，改成只限制 accepted；GuardianGrant 增加 valid_from 后，离线设备的时钟差异有了明确处理。相同回执、内容改动和并发落败也分别返回稳定结果。密钥 fallback 没有删除，安全边界判断留了缺口。</t>
        </is>
      </c>
      <c r="V50">
        <v>3</v>
      </c>
      <c r="W50" t="inlineStr">
        <is>
          <t>验证结果后来完整，但途中有几次返工：路由检查触发 _IncludedRouter.path 的 AttributeError，shell 片段报 eval 错误，8080 被占用让第一次 E2E 退出，数据库未就绪还导致集成测试先跳过。换端口、补索引并等待数据库后才全部通过。</t>
        </is>
      </c>
      <c r="X50"/>
      <c r="Y50" t="inlineStr">
        <is>
          <t>任皇定</t>
        </is>
      </c>
      <c r="Z50" s="3">
        <v>46273</v>
      </c>
      <c r="AA50" t="inlineStr">
        <is>
          <t>通过</t>
        </is>
      </c>
      <c r="AB50"/>
      <c r="AC50"/>
      <c r="AD50"/>
    </row>
  </sheetData>
  <dataValidations count="6">
    <dataValidation allowBlank="false" sqref="G2:G49" type="list">
      <formula1>"无外部依赖,有外部依赖，未容器化,已容器化，可一键起环境"</formula1>
    </dataValidation>
    <dataValidation allowBlank="false" sqref="H2:H49" type="list">
      <formula1>"Claude Code,Codex CLI"</formula1>
    </dataValidation>
    <dataValidation allowBlank="false" sqref="J2:J49" type="list">
      <formula1>"MacOS/Linux,Windows"</formula1>
    </dataValidation>
    <dataValidation allowBlank="false" sqref="K2:K49" type="list">
      <formula1>"Bug修复,0-1代码生成,feature迭代,代码理解,代码重构,工程化,代码测试,Feature迭代,0-1 代码生成"</formula1>
    </dataValidation>
    <dataValidation allowBlank="false" sqref="L2:L49" type="list">
      <formula1>"简单,中等,困难,地狱"</formula1>
    </dataValidation>
    <dataValidation allowBlank="false" sqref="AA2:AA49" type="list">
      <formula1>"通过,打回,待审核"</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